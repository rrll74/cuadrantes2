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8.xml" ContentType="application/vnd.ms-excel.threadedcomment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ramon.luque\Downloads\"/>
    </mc:Choice>
  </mc:AlternateContent>
  <workbookProtection workbookAlgorithmName="SHA-512" workbookHashValue="9SAtD6cIC0bUjpJIVyi879FIBPR2VJKKASsp0M8kPXBtaX0YKcEQlabecNNCSsCvpeMA88gZ7WZZ/iMvO7H0XQ==" workbookSaltValue="mC/gUzfm/ZO5rWdUGtYJxw==" workbookSpinCount="100000" lockStructure="1"/>
  <bookViews>
    <workbookView xWindow="0" yWindow="0" windowWidth="28800" windowHeight="11730" tabRatio="977" activeTab="1"/>
  </bookViews>
  <sheets>
    <sheet name="Instrucciones" sheetId="103" r:id="rId1"/>
    <sheet name="RESULTADOS_OBJETIVOS" sheetId="56" r:id="rId2"/>
    <sheet name="Supervis@r1" sheetId="1" r:id="rId3"/>
    <sheet name="Supervis@r1_Int" sheetId="4" r:id="rId4"/>
    <sheet name="Colaborad@r1" sheetId="5" r:id="rId5"/>
    <sheet name="Colaborad@r2" sheetId="6" r:id="rId6"/>
    <sheet name="Colaborad@r3" sheetId="7" r:id="rId7"/>
    <sheet name="Colaborad@r4" sheetId="8" r:id="rId8"/>
    <sheet name="Colaborad@r5" sheetId="10" r:id="rId9"/>
    <sheet name="Colaborad@r6" sheetId="9" r:id="rId10"/>
    <sheet name="Colaborad@r7" sheetId="57" r:id="rId11"/>
    <sheet name="Colaborad@r8" sheetId="58" r:id="rId12"/>
    <sheet name="Colaborad@r9" sheetId="59" r:id="rId13"/>
    <sheet name="Colaborad@r10" sheetId="60" r:id="rId14"/>
    <sheet name="Colaborad@r11" sheetId="61" r:id="rId15"/>
    <sheet name="Colaborad@r12" sheetId="62" r:id="rId16"/>
    <sheet name="Colaborad@r13" sheetId="64" r:id="rId17"/>
    <sheet name="Colaborad@r14" sheetId="65" r:id="rId18"/>
    <sheet name="Colaborad@r15" sheetId="66" r:id="rId19"/>
    <sheet name="Colaborad@r16" sheetId="67" r:id="rId20"/>
    <sheet name="Colaborad@r17" sheetId="68" r:id="rId21"/>
    <sheet name="Colaborad@r18" sheetId="69" r:id="rId22"/>
    <sheet name="Colaborad@r19" sheetId="70" r:id="rId23"/>
    <sheet name="Colaborad@r20" sheetId="71" r:id="rId24"/>
    <sheet name="Colaborad@r21" sheetId="73" r:id="rId25"/>
    <sheet name="Colaborad@r22" sheetId="74" r:id="rId26"/>
    <sheet name="Colaborad@r23" sheetId="75" r:id="rId27"/>
    <sheet name="Colaborad@r24" sheetId="76" r:id="rId28"/>
    <sheet name="Colaborad@r25" sheetId="77" r:id="rId29"/>
    <sheet name="Colaborad@r26" sheetId="78" r:id="rId30"/>
    <sheet name="Colaborad@r27" sheetId="79" r:id="rId31"/>
    <sheet name="Colaborad@r28" sheetId="80" r:id="rId32"/>
    <sheet name="Colaborad@r29" sheetId="81" r:id="rId33"/>
    <sheet name="Colaborad@r30" sheetId="82" r:id="rId34"/>
    <sheet name="Colaborad@r31" sheetId="83" r:id="rId35"/>
    <sheet name="Colaborad@r32" sheetId="84" r:id="rId36"/>
    <sheet name="Colaborad@r33" sheetId="85" r:id="rId37"/>
    <sheet name="Colaborad@r34" sheetId="86" r:id="rId38"/>
    <sheet name="Colaborad@r35" sheetId="87" r:id="rId39"/>
    <sheet name="Colaborad@r36" sheetId="88" r:id="rId40"/>
    <sheet name="Colaborad@r37" sheetId="89" r:id="rId41"/>
    <sheet name="Colaborad@r38" sheetId="90" r:id="rId42"/>
    <sheet name="Colaborad@r39" sheetId="91" r:id="rId43"/>
    <sheet name="Colaborad@r40" sheetId="92" r:id="rId44"/>
    <sheet name="Colaborad@r41" sheetId="93" r:id="rId45"/>
    <sheet name="Colaborad@r42" sheetId="94" r:id="rId46"/>
    <sheet name="Colaborad@r43" sheetId="95" r:id="rId47"/>
    <sheet name="Colaborad@r44" sheetId="96" r:id="rId48"/>
    <sheet name="Colaborad@r45" sheetId="97" r:id="rId49"/>
    <sheet name="Colaborad@r46" sheetId="98" r:id="rId50"/>
    <sheet name="Colaborad@r47" sheetId="99" r:id="rId51"/>
    <sheet name="Colaborad@r48" sheetId="100" r:id="rId52"/>
    <sheet name="Colaborad@r49" sheetId="104" r:id="rId53"/>
    <sheet name="Colaborad@r50" sheetId="105" r:id="rId54"/>
  </sheets>
  <definedNames>
    <definedName name="_xlnm._FilterDatabase" localSheetId="1" hidden="1">RESULTADOS_OBJETIVOS!$A$4:$H$54</definedName>
    <definedName name="_xlnm.Print_Titles" localSheetId="1">RESULTADOS_OBJETIVOS!$1:$4</definedName>
    <definedName name="_xlnm.Print_Titles" localSheetId="2">'Supervis@r1'!$1:$2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6" i="56" l="1"/>
  <c r="F55" i="56"/>
  <c r="F54" i="56"/>
  <c r="E56" i="56"/>
  <c r="E55" i="56"/>
  <c r="E54" i="56"/>
  <c r="D56" i="56"/>
  <c r="D55" i="56"/>
  <c r="D54" i="56"/>
  <c r="C56" i="56"/>
  <c r="C55" i="56"/>
  <c r="C54" i="56"/>
  <c r="B56" i="56"/>
  <c r="B55" i="56"/>
  <c r="B54" i="56"/>
  <c r="G55" i="56"/>
  <c r="G56" i="56"/>
  <c r="J19" i="105"/>
  <c r="D19" i="105"/>
  <c r="J18" i="105"/>
  <c r="A18" i="105"/>
  <c r="I18" i="105" s="1"/>
  <c r="J17" i="105"/>
  <c r="I17" i="105"/>
  <c r="A17" i="105"/>
  <c r="J16" i="105"/>
  <c r="A16" i="105"/>
  <c r="I16" i="105" s="1"/>
  <c r="J15" i="105"/>
  <c r="I15" i="105"/>
  <c r="A15" i="105"/>
  <c r="A14" i="105"/>
  <c r="I14" i="105" s="1"/>
  <c r="J14" i="105" s="1"/>
  <c r="I13" i="105"/>
  <c r="J13" i="105" s="1"/>
  <c r="A13" i="105"/>
  <c r="A12" i="105"/>
  <c r="I12" i="105" s="1"/>
  <c r="J12" i="105" s="1"/>
  <c r="C3" i="105"/>
  <c r="I2" i="105"/>
  <c r="C2" i="105"/>
  <c r="C1" i="105"/>
  <c r="J19" i="104"/>
  <c r="D19" i="104"/>
  <c r="J18" i="104"/>
  <c r="A18" i="104"/>
  <c r="I18" i="104" s="1"/>
  <c r="J17" i="104"/>
  <c r="I17" i="104"/>
  <c r="A17" i="104"/>
  <c r="J16" i="104"/>
  <c r="A16" i="104"/>
  <c r="I16" i="104" s="1"/>
  <c r="J15" i="104"/>
  <c r="I15" i="104"/>
  <c r="A15" i="104"/>
  <c r="A14" i="104"/>
  <c r="I14" i="104" s="1"/>
  <c r="J14" i="104" s="1"/>
  <c r="I13" i="104"/>
  <c r="J13" i="104" s="1"/>
  <c r="A13" i="104"/>
  <c r="A12" i="104"/>
  <c r="I12" i="104" s="1"/>
  <c r="J12" i="104" s="1"/>
  <c r="C3" i="104"/>
  <c r="I2" i="104"/>
  <c r="C2" i="104"/>
  <c r="C1" i="104"/>
  <c r="H55" i="56" l="1"/>
  <c r="H56" i="56"/>
  <c r="J2" i="1"/>
  <c r="I2" i="6"/>
  <c r="C2" i="6"/>
  <c r="C1" i="6"/>
  <c r="I2" i="7"/>
  <c r="C2" i="7"/>
  <c r="C1" i="7"/>
  <c r="I2" i="8"/>
  <c r="C2" i="8"/>
  <c r="C1" i="8"/>
  <c r="I2" i="10"/>
  <c r="C2" i="10"/>
  <c r="C1" i="10"/>
  <c r="I2" i="9"/>
  <c r="C2" i="9"/>
  <c r="C1" i="9"/>
  <c r="I2" i="57"/>
  <c r="C2" i="57"/>
  <c r="C1" i="57"/>
  <c r="I2" i="58"/>
  <c r="C2" i="58"/>
  <c r="C1" i="58"/>
  <c r="I2" i="59"/>
  <c r="C2" i="59"/>
  <c r="C1" i="59"/>
  <c r="I2" i="60"/>
  <c r="C2" i="60"/>
  <c r="C1" i="60"/>
  <c r="I2" i="61"/>
  <c r="C2" i="61"/>
  <c r="C1" i="61"/>
  <c r="I2" i="62"/>
  <c r="C2" i="62"/>
  <c r="C1" i="62"/>
  <c r="I2" i="64"/>
  <c r="C2" i="64"/>
  <c r="C1" i="64"/>
  <c r="I2" i="65"/>
  <c r="C2" i="65"/>
  <c r="C1" i="65"/>
  <c r="I2" i="66"/>
  <c r="C2" i="66"/>
  <c r="C1" i="66"/>
  <c r="I2" i="67"/>
  <c r="C2" i="67"/>
  <c r="C1" i="67"/>
  <c r="I2" i="68"/>
  <c r="C2" i="68"/>
  <c r="C1" i="68"/>
  <c r="I2" i="69"/>
  <c r="C2" i="69"/>
  <c r="C1" i="69"/>
  <c r="I2" i="70"/>
  <c r="C2" i="70"/>
  <c r="C1" i="70"/>
  <c r="I2" i="71"/>
  <c r="C2" i="71"/>
  <c r="C1" i="71"/>
  <c r="I2" i="73"/>
  <c r="C2" i="73"/>
  <c r="C1" i="73"/>
  <c r="I2" i="74"/>
  <c r="C2" i="74"/>
  <c r="C1" i="74"/>
  <c r="I2" i="75"/>
  <c r="C2" i="75"/>
  <c r="C1" i="75"/>
  <c r="I2" i="76"/>
  <c r="C2" i="76"/>
  <c r="C1" i="76"/>
  <c r="I2" i="77"/>
  <c r="C2" i="77"/>
  <c r="C1" i="77"/>
  <c r="I2" i="78"/>
  <c r="C2" i="78"/>
  <c r="C1" i="78"/>
  <c r="I2" i="79"/>
  <c r="C2" i="79"/>
  <c r="C1" i="79"/>
  <c r="I2" i="80"/>
  <c r="C2" i="80"/>
  <c r="C1" i="80"/>
  <c r="I2" i="81"/>
  <c r="C2" i="81"/>
  <c r="C1" i="81"/>
  <c r="I2" i="82"/>
  <c r="C2" i="82"/>
  <c r="C1" i="82"/>
  <c r="I2" i="83"/>
  <c r="C2" i="83"/>
  <c r="C1" i="83"/>
  <c r="I2" i="84"/>
  <c r="C2" i="84"/>
  <c r="C1" i="84"/>
  <c r="I2" i="85"/>
  <c r="C2" i="85"/>
  <c r="C1" i="85"/>
  <c r="I2" i="86"/>
  <c r="C2" i="86"/>
  <c r="C1" i="86"/>
  <c r="I2" i="87"/>
  <c r="C2" i="87"/>
  <c r="C1" i="87"/>
  <c r="I2" i="88"/>
  <c r="C2" i="88"/>
  <c r="C1" i="88"/>
  <c r="I2" i="89"/>
  <c r="C2" i="89"/>
  <c r="C1" i="89"/>
  <c r="I2" i="90"/>
  <c r="C2" i="90"/>
  <c r="C1" i="90"/>
  <c r="I2" i="91"/>
  <c r="C2" i="91"/>
  <c r="C1" i="91"/>
  <c r="I2" i="92"/>
  <c r="C2" i="92"/>
  <c r="C1" i="92"/>
  <c r="I2" i="93"/>
  <c r="C2" i="93"/>
  <c r="C1" i="93"/>
  <c r="I2" i="94"/>
  <c r="C2" i="94"/>
  <c r="C1" i="94"/>
  <c r="I2" i="95"/>
  <c r="C2" i="95"/>
  <c r="C1" i="95"/>
  <c r="I2" i="96"/>
  <c r="C2" i="96"/>
  <c r="C1" i="96"/>
  <c r="I2" i="97"/>
  <c r="C2" i="97"/>
  <c r="C1" i="97"/>
  <c r="I2" i="98"/>
  <c r="C2" i="98"/>
  <c r="C1" i="98"/>
  <c r="I2" i="99"/>
  <c r="C2" i="99"/>
  <c r="C1" i="99"/>
  <c r="I2" i="100"/>
  <c r="C2" i="100"/>
  <c r="C1" i="100"/>
  <c r="I2" i="5"/>
  <c r="C2" i="5"/>
  <c r="C1" i="5"/>
  <c r="I2" i="4"/>
  <c r="J2" i="6" l="1"/>
  <c r="J2" i="105"/>
  <c r="J2" i="104"/>
  <c r="A2" i="56"/>
  <c r="J2" i="4"/>
  <c r="J2" i="5"/>
  <c r="J2" i="100"/>
  <c r="J2" i="99"/>
  <c r="J2" i="98"/>
  <c r="J2" i="97"/>
  <c r="J2" i="96"/>
  <c r="J2" i="95"/>
  <c r="J2" i="94"/>
  <c r="J2" i="93"/>
  <c r="J2" i="92"/>
  <c r="J2" i="91"/>
  <c r="J2" i="90"/>
  <c r="J2" i="89"/>
  <c r="J2" i="88"/>
  <c r="J2" i="87"/>
  <c r="J2" i="86"/>
  <c r="J2" i="85"/>
  <c r="J2" i="84"/>
  <c r="J2" i="83"/>
  <c r="J2" i="82"/>
  <c r="J2" i="81"/>
  <c r="J2" i="80"/>
  <c r="J2" i="79"/>
  <c r="J2" i="78"/>
  <c r="J2" i="77"/>
  <c r="J2" i="76"/>
  <c r="J2" i="75"/>
  <c r="J2" i="74"/>
  <c r="J2" i="73"/>
  <c r="J2" i="71"/>
  <c r="J2" i="70"/>
  <c r="J2" i="69"/>
  <c r="J2" i="68"/>
  <c r="J2" i="67"/>
  <c r="J2" i="66"/>
  <c r="J2" i="65"/>
  <c r="J2" i="64"/>
  <c r="J2" i="62"/>
  <c r="J2" i="61"/>
  <c r="J2" i="60"/>
  <c r="J2" i="59"/>
  <c r="J2" i="58"/>
  <c r="J2" i="57"/>
  <c r="J2" i="9"/>
  <c r="J2" i="10"/>
  <c r="J2" i="8"/>
  <c r="J2" i="7"/>
  <c r="F6" i="56" l="1"/>
  <c r="G54" i="56"/>
  <c r="B5" i="56"/>
  <c r="B6" i="56"/>
  <c r="D19" i="60"/>
  <c r="J18" i="60"/>
  <c r="A18" i="60"/>
  <c r="I18" i="60" s="1"/>
  <c r="J17" i="60"/>
  <c r="A17" i="60"/>
  <c r="I17" i="60" s="1"/>
  <c r="A16" i="60"/>
  <c r="I16" i="60" s="1"/>
  <c r="J16" i="60" s="1"/>
  <c r="A15" i="60"/>
  <c r="I15" i="60" s="1"/>
  <c r="J15" i="60" s="1"/>
  <c r="A14" i="60"/>
  <c r="I14" i="60" s="1"/>
  <c r="J14" i="60" s="1"/>
  <c r="A13" i="60"/>
  <c r="I13" i="60" s="1"/>
  <c r="J13" i="60" s="1"/>
  <c r="A12" i="60"/>
  <c r="I12" i="60" s="1"/>
  <c r="J12" i="60" s="1"/>
  <c r="C3" i="60"/>
  <c r="D19" i="61"/>
  <c r="J18" i="61"/>
  <c r="A18" i="61"/>
  <c r="I18" i="61" s="1"/>
  <c r="J17" i="61"/>
  <c r="A17" i="61"/>
  <c r="I17" i="61" s="1"/>
  <c r="A16" i="61"/>
  <c r="I16" i="61" s="1"/>
  <c r="J16" i="61" s="1"/>
  <c r="A15" i="61"/>
  <c r="I15" i="61" s="1"/>
  <c r="J15" i="61" s="1"/>
  <c r="A14" i="61"/>
  <c r="I14" i="61" s="1"/>
  <c r="J14" i="61" s="1"/>
  <c r="A13" i="61"/>
  <c r="I13" i="61" s="1"/>
  <c r="J13" i="61" s="1"/>
  <c r="A12" i="61"/>
  <c r="I12" i="61" s="1"/>
  <c r="J12" i="61" s="1"/>
  <c r="C3" i="61"/>
  <c r="D19" i="62"/>
  <c r="J18" i="62"/>
  <c r="A18" i="62"/>
  <c r="I18" i="62" s="1"/>
  <c r="J17" i="62"/>
  <c r="A17" i="62"/>
  <c r="I17" i="62" s="1"/>
  <c r="A16" i="62"/>
  <c r="I16" i="62" s="1"/>
  <c r="J16" i="62" s="1"/>
  <c r="A15" i="62"/>
  <c r="I15" i="62" s="1"/>
  <c r="J15" i="62" s="1"/>
  <c r="A14" i="62"/>
  <c r="I14" i="62" s="1"/>
  <c r="J14" i="62" s="1"/>
  <c r="A13" i="62"/>
  <c r="I13" i="62" s="1"/>
  <c r="J13" i="62" s="1"/>
  <c r="A12" i="62"/>
  <c r="I12" i="62" s="1"/>
  <c r="J12" i="62" s="1"/>
  <c r="C3" i="62"/>
  <c r="D19" i="64"/>
  <c r="J18" i="64"/>
  <c r="A18" i="64"/>
  <c r="I18" i="64" s="1"/>
  <c r="J17" i="64"/>
  <c r="A17" i="64"/>
  <c r="I17" i="64" s="1"/>
  <c r="A16" i="64"/>
  <c r="I16" i="64" s="1"/>
  <c r="J16" i="64" s="1"/>
  <c r="A15" i="64"/>
  <c r="I15" i="64" s="1"/>
  <c r="J15" i="64" s="1"/>
  <c r="A14" i="64"/>
  <c r="I14" i="64" s="1"/>
  <c r="J14" i="64" s="1"/>
  <c r="A13" i="64"/>
  <c r="I13" i="64" s="1"/>
  <c r="J13" i="64" s="1"/>
  <c r="A12" i="64"/>
  <c r="I12" i="64" s="1"/>
  <c r="J12" i="64" s="1"/>
  <c r="C3" i="64"/>
  <c r="D19" i="65"/>
  <c r="J18" i="65"/>
  <c r="A18" i="65"/>
  <c r="I18" i="65" s="1"/>
  <c r="J17" i="65"/>
  <c r="A17" i="65"/>
  <c r="I17" i="65" s="1"/>
  <c r="A16" i="65"/>
  <c r="I16" i="65" s="1"/>
  <c r="J16" i="65" s="1"/>
  <c r="A15" i="65"/>
  <c r="I15" i="65" s="1"/>
  <c r="J15" i="65" s="1"/>
  <c r="A14" i="65"/>
  <c r="I14" i="65" s="1"/>
  <c r="J14" i="65" s="1"/>
  <c r="A13" i="65"/>
  <c r="I13" i="65" s="1"/>
  <c r="J13" i="65" s="1"/>
  <c r="A12" i="65"/>
  <c r="I12" i="65" s="1"/>
  <c r="J12" i="65" s="1"/>
  <c r="C3" i="65"/>
  <c r="D19" i="66"/>
  <c r="J18" i="66"/>
  <c r="A18" i="66"/>
  <c r="I18" i="66" s="1"/>
  <c r="J17" i="66"/>
  <c r="A17" i="66"/>
  <c r="I17" i="66" s="1"/>
  <c r="A16" i="66"/>
  <c r="I16" i="66" s="1"/>
  <c r="J16" i="66" s="1"/>
  <c r="A15" i="66"/>
  <c r="I15" i="66" s="1"/>
  <c r="J15" i="66" s="1"/>
  <c r="A14" i="66"/>
  <c r="I14" i="66" s="1"/>
  <c r="J14" i="66" s="1"/>
  <c r="A13" i="66"/>
  <c r="I13" i="66" s="1"/>
  <c r="J13" i="66" s="1"/>
  <c r="A12" i="66"/>
  <c r="I12" i="66" s="1"/>
  <c r="J12" i="66" s="1"/>
  <c r="C3" i="66"/>
  <c r="D19" i="67"/>
  <c r="J18" i="67"/>
  <c r="A18" i="67"/>
  <c r="I18" i="67" s="1"/>
  <c r="J17" i="67"/>
  <c r="A17" i="67"/>
  <c r="I17" i="67" s="1"/>
  <c r="A16" i="67"/>
  <c r="I16" i="67" s="1"/>
  <c r="J16" i="67" s="1"/>
  <c r="A15" i="67"/>
  <c r="I15" i="67" s="1"/>
  <c r="J15" i="67" s="1"/>
  <c r="A14" i="67"/>
  <c r="I14" i="67" s="1"/>
  <c r="J14" i="67" s="1"/>
  <c r="A13" i="67"/>
  <c r="I13" i="67" s="1"/>
  <c r="J13" i="67" s="1"/>
  <c r="A12" i="67"/>
  <c r="I12" i="67" s="1"/>
  <c r="J12" i="67" s="1"/>
  <c r="C3" i="67"/>
  <c r="D19" i="68"/>
  <c r="J18" i="68"/>
  <c r="A18" i="68"/>
  <c r="I18" i="68" s="1"/>
  <c r="J17" i="68"/>
  <c r="A17" i="68"/>
  <c r="I17" i="68" s="1"/>
  <c r="A16" i="68"/>
  <c r="I16" i="68" s="1"/>
  <c r="J16" i="68" s="1"/>
  <c r="A15" i="68"/>
  <c r="I15" i="68" s="1"/>
  <c r="J15" i="68" s="1"/>
  <c r="A14" i="68"/>
  <c r="I14" i="68" s="1"/>
  <c r="J14" i="68" s="1"/>
  <c r="A13" i="68"/>
  <c r="I13" i="68" s="1"/>
  <c r="J13" i="68" s="1"/>
  <c r="A12" i="68"/>
  <c r="I12" i="68" s="1"/>
  <c r="J12" i="68" s="1"/>
  <c r="C3" i="68"/>
  <c r="D19" i="69"/>
  <c r="J18" i="69"/>
  <c r="A18" i="69"/>
  <c r="I18" i="69" s="1"/>
  <c r="J17" i="69"/>
  <c r="A17" i="69"/>
  <c r="I17" i="69" s="1"/>
  <c r="A16" i="69"/>
  <c r="I16" i="69" s="1"/>
  <c r="J16" i="69" s="1"/>
  <c r="A15" i="69"/>
  <c r="I15" i="69" s="1"/>
  <c r="J15" i="69" s="1"/>
  <c r="A14" i="69"/>
  <c r="I14" i="69" s="1"/>
  <c r="J14" i="69" s="1"/>
  <c r="A13" i="69"/>
  <c r="I13" i="69" s="1"/>
  <c r="J13" i="69" s="1"/>
  <c r="A12" i="69"/>
  <c r="I12" i="69" s="1"/>
  <c r="J12" i="69" s="1"/>
  <c r="C3" i="69"/>
  <c r="D19" i="70"/>
  <c r="J18" i="70"/>
  <c r="A18" i="70"/>
  <c r="I18" i="70" s="1"/>
  <c r="J17" i="70"/>
  <c r="A17" i="70"/>
  <c r="I17" i="70" s="1"/>
  <c r="A16" i="70"/>
  <c r="I16" i="70" s="1"/>
  <c r="J16" i="70" s="1"/>
  <c r="A15" i="70"/>
  <c r="I15" i="70" s="1"/>
  <c r="J15" i="70" s="1"/>
  <c r="A14" i="70"/>
  <c r="I14" i="70" s="1"/>
  <c r="J14" i="70" s="1"/>
  <c r="A13" i="70"/>
  <c r="I13" i="70" s="1"/>
  <c r="J13" i="70" s="1"/>
  <c r="A12" i="70"/>
  <c r="I12" i="70" s="1"/>
  <c r="J12" i="70" s="1"/>
  <c r="C3" i="70"/>
  <c r="D19" i="71"/>
  <c r="J18" i="71"/>
  <c r="A18" i="71"/>
  <c r="I18" i="71" s="1"/>
  <c r="J17" i="71"/>
  <c r="A17" i="71"/>
  <c r="I17" i="71" s="1"/>
  <c r="A16" i="71"/>
  <c r="I16" i="71" s="1"/>
  <c r="J16" i="71" s="1"/>
  <c r="A15" i="71"/>
  <c r="I15" i="71" s="1"/>
  <c r="J15" i="71" s="1"/>
  <c r="A14" i="71"/>
  <c r="I14" i="71" s="1"/>
  <c r="J14" i="71" s="1"/>
  <c r="I13" i="71"/>
  <c r="J13" i="71" s="1"/>
  <c r="A13" i="71"/>
  <c r="A12" i="71"/>
  <c r="I12" i="71" s="1"/>
  <c r="J12" i="71" s="1"/>
  <c r="C3" i="71"/>
  <c r="D19" i="73"/>
  <c r="J18" i="73"/>
  <c r="A18" i="73"/>
  <c r="I18" i="73" s="1"/>
  <c r="J17" i="73"/>
  <c r="A17" i="73"/>
  <c r="I17" i="73" s="1"/>
  <c r="A16" i="73"/>
  <c r="I16" i="73" s="1"/>
  <c r="J16" i="73" s="1"/>
  <c r="A15" i="73"/>
  <c r="I15" i="73" s="1"/>
  <c r="J15" i="73" s="1"/>
  <c r="A14" i="73"/>
  <c r="I14" i="73" s="1"/>
  <c r="J14" i="73" s="1"/>
  <c r="I13" i="73"/>
  <c r="J13" i="73" s="1"/>
  <c r="A13" i="73"/>
  <c r="A12" i="73"/>
  <c r="I12" i="73" s="1"/>
  <c r="J12" i="73" s="1"/>
  <c r="C3" i="73"/>
  <c r="D19" i="74"/>
  <c r="J18" i="74"/>
  <c r="A18" i="74"/>
  <c r="I18" i="74" s="1"/>
  <c r="J17" i="74"/>
  <c r="A17" i="74"/>
  <c r="I17" i="74" s="1"/>
  <c r="A16" i="74"/>
  <c r="I16" i="74" s="1"/>
  <c r="J16" i="74" s="1"/>
  <c r="A15" i="74"/>
  <c r="I15" i="74" s="1"/>
  <c r="J15" i="74" s="1"/>
  <c r="A14" i="74"/>
  <c r="I14" i="74" s="1"/>
  <c r="J14" i="74" s="1"/>
  <c r="A13" i="74"/>
  <c r="I13" i="74" s="1"/>
  <c r="J13" i="74" s="1"/>
  <c r="A12" i="74"/>
  <c r="I12" i="74" s="1"/>
  <c r="J12" i="74" s="1"/>
  <c r="C3" i="74"/>
  <c r="D19" i="75"/>
  <c r="J18" i="75"/>
  <c r="A18" i="75"/>
  <c r="I18" i="75" s="1"/>
  <c r="J17" i="75"/>
  <c r="A17" i="75"/>
  <c r="I17" i="75" s="1"/>
  <c r="A16" i="75"/>
  <c r="I16" i="75" s="1"/>
  <c r="J16" i="75" s="1"/>
  <c r="A15" i="75"/>
  <c r="I15" i="75" s="1"/>
  <c r="J15" i="75" s="1"/>
  <c r="A14" i="75"/>
  <c r="I14" i="75" s="1"/>
  <c r="J14" i="75" s="1"/>
  <c r="A13" i="75"/>
  <c r="I13" i="75" s="1"/>
  <c r="J13" i="75" s="1"/>
  <c r="A12" i="75"/>
  <c r="I12" i="75" s="1"/>
  <c r="J12" i="75" s="1"/>
  <c r="C3" i="75"/>
  <c r="D19" i="76"/>
  <c r="J18" i="76"/>
  <c r="A18" i="76"/>
  <c r="I18" i="76" s="1"/>
  <c r="J17" i="76"/>
  <c r="A17" i="76"/>
  <c r="I17" i="76" s="1"/>
  <c r="A16" i="76"/>
  <c r="I16" i="76" s="1"/>
  <c r="J16" i="76" s="1"/>
  <c r="A15" i="76"/>
  <c r="I15" i="76" s="1"/>
  <c r="J15" i="76" s="1"/>
  <c r="A14" i="76"/>
  <c r="I14" i="76" s="1"/>
  <c r="J14" i="76" s="1"/>
  <c r="A13" i="76"/>
  <c r="I13" i="76" s="1"/>
  <c r="J13" i="76" s="1"/>
  <c r="I12" i="76"/>
  <c r="J12" i="76" s="1"/>
  <c r="A12" i="76"/>
  <c r="C3" i="76"/>
  <c r="D19" i="77"/>
  <c r="J18" i="77"/>
  <c r="A18" i="77"/>
  <c r="I18" i="77" s="1"/>
  <c r="J17" i="77"/>
  <c r="A17" i="77"/>
  <c r="I17" i="77" s="1"/>
  <c r="A16" i="77"/>
  <c r="I16" i="77" s="1"/>
  <c r="J16" i="77" s="1"/>
  <c r="A15" i="77"/>
  <c r="I15" i="77" s="1"/>
  <c r="J15" i="77" s="1"/>
  <c r="I14" i="77"/>
  <c r="J14" i="77" s="1"/>
  <c r="A14" i="77"/>
  <c r="A13" i="77"/>
  <c r="I13" i="77" s="1"/>
  <c r="J13" i="77" s="1"/>
  <c r="A12" i="77"/>
  <c r="I12" i="77" s="1"/>
  <c r="J12" i="77" s="1"/>
  <c r="C3" i="77"/>
  <c r="D19" i="78"/>
  <c r="J18" i="78"/>
  <c r="A18" i="78"/>
  <c r="I18" i="78" s="1"/>
  <c r="J17" i="78"/>
  <c r="A17" i="78"/>
  <c r="I17" i="78" s="1"/>
  <c r="A16" i="78"/>
  <c r="I16" i="78" s="1"/>
  <c r="J16" i="78" s="1"/>
  <c r="A15" i="78"/>
  <c r="I15" i="78" s="1"/>
  <c r="J15" i="78" s="1"/>
  <c r="A14" i="78"/>
  <c r="I14" i="78" s="1"/>
  <c r="J14" i="78" s="1"/>
  <c r="A13" i="78"/>
  <c r="I13" i="78" s="1"/>
  <c r="J13" i="78" s="1"/>
  <c r="I12" i="78"/>
  <c r="J12" i="78" s="1"/>
  <c r="A12" i="78"/>
  <c r="C3" i="78"/>
  <c r="D19" i="79"/>
  <c r="J18" i="79"/>
  <c r="A18" i="79"/>
  <c r="I18" i="79" s="1"/>
  <c r="J17" i="79"/>
  <c r="A17" i="79"/>
  <c r="I17" i="79" s="1"/>
  <c r="A16" i="79"/>
  <c r="I16" i="79" s="1"/>
  <c r="J16" i="79" s="1"/>
  <c r="A15" i="79"/>
  <c r="I15" i="79" s="1"/>
  <c r="J15" i="79" s="1"/>
  <c r="I14" i="79"/>
  <c r="J14" i="79" s="1"/>
  <c r="A14" i="79"/>
  <c r="A13" i="79"/>
  <c r="I13" i="79" s="1"/>
  <c r="J13" i="79" s="1"/>
  <c r="A12" i="79"/>
  <c r="I12" i="79" s="1"/>
  <c r="J12" i="79" s="1"/>
  <c r="C3" i="79"/>
  <c r="D19" i="80"/>
  <c r="J18" i="80"/>
  <c r="A18" i="80"/>
  <c r="I18" i="80" s="1"/>
  <c r="J17" i="80"/>
  <c r="A17" i="80"/>
  <c r="I17" i="80" s="1"/>
  <c r="A16" i="80"/>
  <c r="I16" i="80" s="1"/>
  <c r="J16" i="80" s="1"/>
  <c r="A15" i="80"/>
  <c r="I15" i="80" s="1"/>
  <c r="J15" i="80" s="1"/>
  <c r="A14" i="80"/>
  <c r="I14" i="80" s="1"/>
  <c r="J14" i="80" s="1"/>
  <c r="A13" i="80"/>
  <c r="I13" i="80" s="1"/>
  <c r="J13" i="80" s="1"/>
  <c r="I12" i="80"/>
  <c r="J12" i="80" s="1"/>
  <c r="A12" i="80"/>
  <c r="C3" i="80"/>
  <c r="D19" i="81"/>
  <c r="J18" i="81"/>
  <c r="A18" i="81"/>
  <c r="I18" i="81" s="1"/>
  <c r="J17" i="81"/>
  <c r="A17" i="81"/>
  <c r="I17" i="81" s="1"/>
  <c r="A16" i="81"/>
  <c r="I16" i="81" s="1"/>
  <c r="J16" i="81" s="1"/>
  <c r="A15" i="81"/>
  <c r="I15" i="81" s="1"/>
  <c r="J15" i="81" s="1"/>
  <c r="I14" i="81"/>
  <c r="J14" i="81" s="1"/>
  <c r="A14" i="81"/>
  <c r="A13" i="81"/>
  <c r="I13" i="81" s="1"/>
  <c r="J13" i="81" s="1"/>
  <c r="A12" i="81"/>
  <c r="I12" i="81" s="1"/>
  <c r="J12" i="81" s="1"/>
  <c r="C3" i="81"/>
  <c r="D19" i="82"/>
  <c r="J18" i="82"/>
  <c r="A18" i="82"/>
  <c r="I18" i="82" s="1"/>
  <c r="J17" i="82"/>
  <c r="A17" i="82"/>
  <c r="I17" i="82" s="1"/>
  <c r="A16" i="82"/>
  <c r="I16" i="82" s="1"/>
  <c r="J16" i="82" s="1"/>
  <c r="A15" i="82"/>
  <c r="I15" i="82" s="1"/>
  <c r="J15" i="82" s="1"/>
  <c r="A14" i="82"/>
  <c r="I14" i="82" s="1"/>
  <c r="J14" i="82" s="1"/>
  <c r="A13" i="82"/>
  <c r="I13" i="82" s="1"/>
  <c r="J13" i="82" s="1"/>
  <c r="I12" i="82"/>
  <c r="J12" i="82" s="1"/>
  <c r="A12" i="82"/>
  <c r="C3" i="82"/>
  <c r="D19" i="83"/>
  <c r="J18" i="83"/>
  <c r="A18" i="83"/>
  <c r="I18" i="83" s="1"/>
  <c r="J17" i="83"/>
  <c r="A17" i="83"/>
  <c r="I17" i="83" s="1"/>
  <c r="A16" i="83"/>
  <c r="I16" i="83" s="1"/>
  <c r="J16" i="83" s="1"/>
  <c r="A15" i="83"/>
  <c r="I15" i="83" s="1"/>
  <c r="J15" i="83" s="1"/>
  <c r="I14" i="83"/>
  <c r="J14" i="83" s="1"/>
  <c r="A14" i="83"/>
  <c r="A13" i="83"/>
  <c r="I13" i="83" s="1"/>
  <c r="J13" i="83" s="1"/>
  <c r="A12" i="83"/>
  <c r="I12" i="83" s="1"/>
  <c r="J12" i="83" s="1"/>
  <c r="C3" i="83"/>
  <c r="D19" i="84"/>
  <c r="J18" i="84"/>
  <c r="A18" i="84"/>
  <c r="I18" i="84" s="1"/>
  <c r="J17" i="84"/>
  <c r="A17" i="84"/>
  <c r="I17" i="84" s="1"/>
  <c r="A16" i="84"/>
  <c r="I16" i="84" s="1"/>
  <c r="J16" i="84" s="1"/>
  <c r="A15" i="84"/>
  <c r="I15" i="84" s="1"/>
  <c r="J15" i="84" s="1"/>
  <c r="A14" i="84"/>
  <c r="I14" i="84" s="1"/>
  <c r="J14" i="84" s="1"/>
  <c r="A13" i="84"/>
  <c r="I13" i="84" s="1"/>
  <c r="J13" i="84" s="1"/>
  <c r="I12" i="84"/>
  <c r="J12" i="84" s="1"/>
  <c r="A12" i="84"/>
  <c r="C3" i="84"/>
  <c r="D19" i="85"/>
  <c r="J18" i="85"/>
  <c r="A18" i="85"/>
  <c r="I18" i="85" s="1"/>
  <c r="J17" i="85"/>
  <c r="A17" i="85"/>
  <c r="I17" i="85" s="1"/>
  <c r="A16" i="85"/>
  <c r="I16" i="85" s="1"/>
  <c r="J16" i="85" s="1"/>
  <c r="A15" i="85"/>
  <c r="I15" i="85" s="1"/>
  <c r="J15" i="85" s="1"/>
  <c r="I14" i="85"/>
  <c r="J14" i="85" s="1"/>
  <c r="A14" i="85"/>
  <c r="A13" i="85"/>
  <c r="I13" i="85" s="1"/>
  <c r="J13" i="85" s="1"/>
  <c r="A12" i="85"/>
  <c r="I12" i="85" s="1"/>
  <c r="J12" i="85" s="1"/>
  <c r="C3" i="85"/>
  <c r="D19" i="86"/>
  <c r="J18" i="86"/>
  <c r="A18" i="86"/>
  <c r="I18" i="86" s="1"/>
  <c r="J17" i="86"/>
  <c r="A17" i="86"/>
  <c r="I17" i="86" s="1"/>
  <c r="A16" i="86"/>
  <c r="I16" i="86" s="1"/>
  <c r="J16" i="86" s="1"/>
  <c r="A15" i="86"/>
  <c r="I15" i="86" s="1"/>
  <c r="J15" i="86" s="1"/>
  <c r="A14" i="86"/>
  <c r="I14" i="86" s="1"/>
  <c r="J14" i="86" s="1"/>
  <c r="A13" i="86"/>
  <c r="I13" i="86" s="1"/>
  <c r="J13" i="86" s="1"/>
  <c r="I12" i="86"/>
  <c r="J12" i="86" s="1"/>
  <c r="A12" i="86"/>
  <c r="C3" i="86"/>
  <c r="D19" i="87"/>
  <c r="J18" i="87"/>
  <c r="A18" i="87"/>
  <c r="I18" i="87" s="1"/>
  <c r="J17" i="87"/>
  <c r="A17" i="87"/>
  <c r="I17" i="87" s="1"/>
  <c r="A16" i="87"/>
  <c r="I16" i="87" s="1"/>
  <c r="J16" i="87" s="1"/>
  <c r="A15" i="87"/>
  <c r="I15" i="87" s="1"/>
  <c r="J15" i="87" s="1"/>
  <c r="I14" i="87"/>
  <c r="J14" i="87" s="1"/>
  <c r="A14" i="87"/>
  <c r="A13" i="87"/>
  <c r="I13" i="87" s="1"/>
  <c r="J13" i="87" s="1"/>
  <c r="A12" i="87"/>
  <c r="I12" i="87" s="1"/>
  <c r="J12" i="87" s="1"/>
  <c r="C3" i="87"/>
  <c r="D19" i="88"/>
  <c r="J18" i="88"/>
  <c r="A18" i="88"/>
  <c r="I18" i="88" s="1"/>
  <c r="J17" i="88"/>
  <c r="A17" i="88"/>
  <c r="I17" i="88" s="1"/>
  <c r="A16" i="88"/>
  <c r="I16" i="88" s="1"/>
  <c r="J16" i="88" s="1"/>
  <c r="A15" i="88"/>
  <c r="I15" i="88" s="1"/>
  <c r="J15" i="88" s="1"/>
  <c r="A14" i="88"/>
  <c r="I14" i="88" s="1"/>
  <c r="J14" i="88" s="1"/>
  <c r="A13" i="88"/>
  <c r="I13" i="88" s="1"/>
  <c r="J13" i="88" s="1"/>
  <c r="I12" i="88"/>
  <c r="J12" i="88" s="1"/>
  <c r="A12" i="88"/>
  <c r="C3" i="88"/>
  <c r="D19" i="89"/>
  <c r="J18" i="89"/>
  <c r="A18" i="89"/>
  <c r="I18" i="89" s="1"/>
  <c r="J17" i="89"/>
  <c r="A17" i="89"/>
  <c r="I17" i="89" s="1"/>
  <c r="A16" i="89"/>
  <c r="I16" i="89" s="1"/>
  <c r="J16" i="89" s="1"/>
  <c r="A15" i="89"/>
  <c r="I15" i="89" s="1"/>
  <c r="J15" i="89" s="1"/>
  <c r="I14" i="89"/>
  <c r="J14" i="89" s="1"/>
  <c r="A14" i="89"/>
  <c r="A13" i="89"/>
  <c r="I13" i="89" s="1"/>
  <c r="J13" i="89" s="1"/>
  <c r="A12" i="89"/>
  <c r="I12" i="89" s="1"/>
  <c r="J12" i="89" s="1"/>
  <c r="C3" i="89"/>
  <c r="D19" i="90"/>
  <c r="J18" i="90"/>
  <c r="A18" i="90"/>
  <c r="I18" i="90" s="1"/>
  <c r="J17" i="90"/>
  <c r="A17" i="90"/>
  <c r="I17" i="90" s="1"/>
  <c r="A16" i="90"/>
  <c r="I16" i="90" s="1"/>
  <c r="J16" i="90" s="1"/>
  <c r="A15" i="90"/>
  <c r="I15" i="90" s="1"/>
  <c r="J15" i="90" s="1"/>
  <c r="A14" i="90"/>
  <c r="I14" i="90" s="1"/>
  <c r="J14" i="90" s="1"/>
  <c r="A13" i="90"/>
  <c r="I13" i="90" s="1"/>
  <c r="J13" i="90" s="1"/>
  <c r="I12" i="90"/>
  <c r="J12" i="90" s="1"/>
  <c r="A12" i="90"/>
  <c r="C3" i="90"/>
  <c r="D19" i="91"/>
  <c r="J18" i="91"/>
  <c r="A18" i="91"/>
  <c r="I18" i="91" s="1"/>
  <c r="J17" i="91"/>
  <c r="A17" i="91"/>
  <c r="I17" i="91" s="1"/>
  <c r="A16" i="91"/>
  <c r="I16" i="91" s="1"/>
  <c r="J16" i="91" s="1"/>
  <c r="A15" i="91"/>
  <c r="I15" i="91" s="1"/>
  <c r="J15" i="91" s="1"/>
  <c r="I14" i="91"/>
  <c r="J14" i="91" s="1"/>
  <c r="A14" i="91"/>
  <c r="A13" i="91"/>
  <c r="I13" i="91" s="1"/>
  <c r="J13" i="91" s="1"/>
  <c r="A12" i="91"/>
  <c r="I12" i="91" s="1"/>
  <c r="J12" i="91" s="1"/>
  <c r="C3" i="91"/>
  <c r="D19" i="92"/>
  <c r="J18" i="92"/>
  <c r="A18" i="92"/>
  <c r="I18" i="92" s="1"/>
  <c r="J17" i="92"/>
  <c r="A17" i="92"/>
  <c r="I17" i="92" s="1"/>
  <c r="A16" i="92"/>
  <c r="I16" i="92" s="1"/>
  <c r="J16" i="92" s="1"/>
  <c r="A15" i="92"/>
  <c r="I15" i="92" s="1"/>
  <c r="J15" i="92" s="1"/>
  <c r="A14" i="92"/>
  <c r="I14" i="92" s="1"/>
  <c r="J14" i="92" s="1"/>
  <c r="A13" i="92"/>
  <c r="I13" i="92" s="1"/>
  <c r="J13" i="92" s="1"/>
  <c r="A12" i="92"/>
  <c r="I12" i="92" s="1"/>
  <c r="J12" i="92" s="1"/>
  <c r="C3" i="92"/>
  <c r="D19" i="93"/>
  <c r="J18" i="93"/>
  <c r="A18" i="93"/>
  <c r="I18" i="93" s="1"/>
  <c r="J17" i="93"/>
  <c r="A17" i="93"/>
  <c r="I17" i="93" s="1"/>
  <c r="A16" i="93"/>
  <c r="I16" i="93" s="1"/>
  <c r="J16" i="93" s="1"/>
  <c r="A15" i="93"/>
  <c r="I15" i="93" s="1"/>
  <c r="J15" i="93" s="1"/>
  <c r="A14" i="93"/>
  <c r="I14" i="93" s="1"/>
  <c r="J14" i="93" s="1"/>
  <c r="A13" i="93"/>
  <c r="I13" i="93" s="1"/>
  <c r="J13" i="93" s="1"/>
  <c r="A12" i="93"/>
  <c r="I12" i="93" s="1"/>
  <c r="J12" i="93" s="1"/>
  <c r="C3" i="93"/>
  <c r="D19" i="94"/>
  <c r="J18" i="94"/>
  <c r="A18" i="94"/>
  <c r="I18" i="94" s="1"/>
  <c r="J17" i="94"/>
  <c r="A17" i="94"/>
  <c r="I17" i="94" s="1"/>
  <c r="A16" i="94"/>
  <c r="I16" i="94" s="1"/>
  <c r="J16" i="94" s="1"/>
  <c r="A15" i="94"/>
  <c r="I15" i="94" s="1"/>
  <c r="J15" i="94" s="1"/>
  <c r="A14" i="94"/>
  <c r="I14" i="94" s="1"/>
  <c r="J14" i="94" s="1"/>
  <c r="A13" i="94"/>
  <c r="I13" i="94" s="1"/>
  <c r="J13" i="94" s="1"/>
  <c r="A12" i="94"/>
  <c r="I12" i="94" s="1"/>
  <c r="J12" i="94" s="1"/>
  <c r="C3" i="94"/>
  <c r="D19" i="95"/>
  <c r="J18" i="95"/>
  <c r="A18" i="95"/>
  <c r="I18" i="95" s="1"/>
  <c r="J17" i="95"/>
  <c r="A17" i="95"/>
  <c r="I17" i="95" s="1"/>
  <c r="A16" i="95"/>
  <c r="I16" i="95" s="1"/>
  <c r="J16" i="95" s="1"/>
  <c r="A15" i="95"/>
  <c r="I15" i="95" s="1"/>
  <c r="J15" i="95" s="1"/>
  <c r="A14" i="95"/>
  <c r="I14" i="95" s="1"/>
  <c r="J14" i="95" s="1"/>
  <c r="A13" i="95"/>
  <c r="I13" i="95" s="1"/>
  <c r="J13" i="95" s="1"/>
  <c r="A12" i="95"/>
  <c r="I12" i="95" s="1"/>
  <c r="J12" i="95" s="1"/>
  <c r="C3" i="95"/>
  <c r="D19" i="96"/>
  <c r="J18" i="96"/>
  <c r="A18" i="96"/>
  <c r="I18" i="96" s="1"/>
  <c r="J17" i="96"/>
  <c r="A17" i="96"/>
  <c r="I17" i="96" s="1"/>
  <c r="A16" i="96"/>
  <c r="I16" i="96" s="1"/>
  <c r="J16" i="96" s="1"/>
  <c r="A15" i="96"/>
  <c r="I15" i="96" s="1"/>
  <c r="J15" i="96" s="1"/>
  <c r="A14" i="96"/>
  <c r="I14" i="96" s="1"/>
  <c r="J14" i="96" s="1"/>
  <c r="A13" i="96"/>
  <c r="I13" i="96" s="1"/>
  <c r="J13" i="96" s="1"/>
  <c r="A12" i="96"/>
  <c r="I12" i="96" s="1"/>
  <c r="J12" i="96" s="1"/>
  <c r="C3" i="96"/>
  <c r="D19" i="97"/>
  <c r="J18" i="97"/>
  <c r="A18" i="97"/>
  <c r="I18" i="97" s="1"/>
  <c r="J17" i="97"/>
  <c r="A17" i="97"/>
  <c r="I17" i="97" s="1"/>
  <c r="A16" i="97"/>
  <c r="I16" i="97" s="1"/>
  <c r="J16" i="97" s="1"/>
  <c r="A15" i="97"/>
  <c r="I15" i="97" s="1"/>
  <c r="J15" i="97" s="1"/>
  <c r="A14" i="97"/>
  <c r="I14" i="97" s="1"/>
  <c r="J14" i="97" s="1"/>
  <c r="A13" i="97"/>
  <c r="I13" i="97" s="1"/>
  <c r="J13" i="97" s="1"/>
  <c r="A12" i="97"/>
  <c r="I12" i="97" s="1"/>
  <c r="J12" i="97" s="1"/>
  <c r="C3" i="97"/>
  <c r="D19" i="98"/>
  <c r="J18" i="98"/>
  <c r="A18" i="98"/>
  <c r="I18" i="98" s="1"/>
  <c r="J17" i="98"/>
  <c r="A17" i="98"/>
  <c r="I17" i="98" s="1"/>
  <c r="A16" i="98"/>
  <c r="I16" i="98" s="1"/>
  <c r="J16" i="98" s="1"/>
  <c r="A15" i="98"/>
  <c r="I15" i="98" s="1"/>
  <c r="J15" i="98" s="1"/>
  <c r="A14" i="98"/>
  <c r="I14" i="98" s="1"/>
  <c r="J14" i="98" s="1"/>
  <c r="A13" i="98"/>
  <c r="I13" i="98" s="1"/>
  <c r="J13" i="98" s="1"/>
  <c r="A12" i="98"/>
  <c r="I12" i="98" s="1"/>
  <c r="J12" i="98" s="1"/>
  <c r="C3" i="98"/>
  <c r="D19" i="99"/>
  <c r="J18" i="99"/>
  <c r="A18" i="99"/>
  <c r="I18" i="99" s="1"/>
  <c r="J17" i="99"/>
  <c r="A17" i="99"/>
  <c r="I17" i="99" s="1"/>
  <c r="A16" i="99"/>
  <c r="I16" i="99" s="1"/>
  <c r="J16" i="99" s="1"/>
  <c r="A15" i="99"/>
  <c r="I15" i="99" s="1"/>
  <c r="J15" i="99" s="1"/>
  <c r="A14" i="99"/>
  <c r="I14" i="99" s="1"/>
  <c r="J14" i="99" s="1"/>
  <c r="A13" i="99"/>
  <c r="I13" i="99" s="1"/>
  <c r="J13" i="99" s="1"/>
  <c r="A12" i="99"/>
  <c r="I12" i="99" s="1"/>
  <c r="J12" i="99" s="1"/>
  <c r="C3" i="99"/>
  <c r="D19" i="100"/>
  <c r="J18" i="100"/>
  <c r="A18" i="100"/>
  <c r="I18" i="100" s="1"/>
  <c r="J17" i="100"/>
  <c r="A17" i="100"/>
  <c r="I17" i="100" s="1"/>
  <c r="A16" i="100"/>
  <c r="I16" i="100" s="1"/>
  <c r="J16" i="100" s="1"/>
  <c r="A15" i="100"/>
  <c r="I15" i="100" s="1"/>
  <c r="J15" i="100" s="1"/>
  <c r="A14" i="100"/>
  <c r="I14" i="100" s="1"/>
  <c r="J14" i="100" s="1"/>
  <c r="A13" i="100"/>
  <c r="I13" i="100" s="1"/>
  <c r="J13" i="100" s="1"/>
  <c r="A12" i="100"/>
  <c r="I12" i="100" s="1"/>
  <c r="J12" i="100" s="1"/>
  <c r="C3" i="100"/>
  <c r="D19" i="59"/>
  <c r="J18" i="59"/>
  <c r="A18" i="59"/>
  <c r="I18" i="59" s="1"/>
  <c r="J17" i="59"/>
  <c r="A17" i="59"/>
  <c r="I17" i="59" s="1"/>
  <c r="A16" i="59"/>
  <c r="I16" i="59" s="1"/>
  <c r="J16" i="59" s="1"/>
  <c r="A15" i="59"/>
  <c r="I15" i="59" s="1"/>
  <c r="J15" i="59" s="1"/>
  <c r="A14" i="59"/>
  <c r="I14" i="59" s="1"/>
  <c r="J14" i="59" s="1"/>
  <c r="A13" i="59"/>
  <c r="I13" i="59" s="1"/>
  <c r="J13" i="59" s="1"/>
  <c r="A12" i="59"/>
  <c r="I12" i="59" s="1"/>
  <c r="J12" i="59" s="1"/>
  <c r="C3" i="59"/>
  <c r="D19" i="58"/>
  <c r="J18" i="58"/>
  <c r="A18" i="58"/>
  <c r="I18" i="58" s="1"/>
  <c r="J17" i="58"/>
  <c r="A17" i="58"/>
  <c r="I17" i="58" s="1"/>
  <c r="A16" i="58"/>
  <c r="I16" i="58" s="1"/>
  <c r="J16" i="58" s="1"/>
  <c r="A15" i="58"/>
  <c r="I15" i="58" s="1"/>
  <c r="J15" i="58" s="1"/>
  <c r="A14" i="58"/>
  <c r="I14" i="58" s="1"/>
  <c r="J14" i="58" s="1"/>
  <c r="A13" i="58"/>
  <c r="I13" i="58" s="1"/>
  <c r="J13" i="58" s="1"/>
  <c r="A12" i="58"/>
  <c r="I12" i="58" s="1"/>
  <c r="J12" i="58" s="1"/>
  <c r="C3" i="58"/>
  <c r="D19" i="57"/>
  <c r="J18" i="57"/>
  <c r="A18" i="57"/>
  <c r="I18" i="57" s="1"/>
  <c r="J17" i="57"/>
  <c r="A17" i="57"/>
  <c r="I17" i="57" s="1"/>
  <c r="A16" i="57"/>
  <c r="I16" i="57" s="1"/>
  <c r="J16" i="57" s="1"/>
  <c r="A15" i="57"/>
  <c r="I15" i="57" s="1"/>
  <c r="J15" i="57" s="1"/>
  <c r="A14" i="57"/>
  <c r="I14" i="57" s="1"/>
  <c r="J14" i="57" s="1"/>
  <c r="A13" i="57"/>
  <c r="I13" i="57" s="1"/>
  <c r="J13" i="57" s="1"/>
  <c r="A12" i="57"/>
  <c r="I12" i="57" s="1"/>
  <c r="J12" i="57" s="1"/>
  <c r="C3" i="57"/>
  <c r="D19" i="9"/>
  <c r="J18" i="9"/>
  <c r="A18" i="9"/>
  <c r="I18" i="9" s="1"/>
  <c r="J17" i="9"/>
  <c r="A17" i="9"/>
  <c r="I17" i="9" s="1"/>
  <c r="A16" i="9"/>
  <c r="I16" i="9" s="1"/>
  <c r="J16" i="9" s="1"/>
  <c r="A15" i="9"/>
  <c r="I15" i="9" s="1"/>
  <c r="J15" i="9" s="1"/>
  <c r="A14" i="9"/>
  <c r="I14" i="9" s="1"/>
  <c r="J14" i="9" s="1"/>
  <c r="A13" i="9"/>
  <c r="I13" i="9" s="1"/>
  <c r="J13" i="9" s="1"/>
  <c r="A12" i="9"/>
  <c r="I12" i="9" s="1"/>
  <c r="J12" i="9" s="1"/>
  <c r="C3" i="9"/>
  <c r="D19" i="10"/>
  <c r="J18" i="10"/>
  <c r="A18" i="10"/>
  <c r="I18" i="10" s="1"/>
  <c r="J17" i="10"/>
  <c r="A17" i="10"/>
  <c r="I17" i="10" s="1"/>
  <c r="A16" i="10"/>
  <c r="I16" i="10" s="1"/>
  <c r="J16" i="10" s="1"/>
  <c r="A15" i="10"/>
  <c r="I15" i="10" s="1"/>
  <c r="J15" i="10" s="1"/>
  <c r="A14" i="10"/>
  <c r="I14" i="10" s="1"/>
  <c r="J14" i="10" s="1"/>
  <c r="A13" i="10"/>
  <c r="I13" i="10" s="1"/>
  <c r="J13" i="10" s="1"/>
  <c r="A12" i="10"/>
  <c r="I12" i="10" s="1"/>
  <c r="J12" i="10" s="1"/>
  <c r="C3" i="10"/>
  <c r="D19" i="8"/>
  <c r="J18" i="8"/>
  <c r="A18" i="8"/>
  <c r="I18" i="8" s="1"/>
  <c r="J17" i="8"/>
  <c r="A17" i="8"/>
  <c r="I17" i="8" s="1"/>
  <c r="A16" i="8"/>
  <c r="I16" i="8" s="1"/>
  <c r="J16" i="8" s="1"/>
  <c r="A15" i="8"/>
  <c r="I15" i="8" s="1"/>
  <c r="J15" i="8" s="1"/>
  <c r="A14" i="8"/>
  <c r="I14" i="8" s="1"/>
  <c r="J14" i="8" s="1"/>
  <c r="A13" i="8"/>
  <c r="I13" i="8" s="1"/>
  <c r="J13" i="8" s="1"/>
  <c r="A12" i="8"/>
  <c r="I12" i="8" s="1"/>
  <c r="J12" i="8" s="1"/>
  <c r="C3" i="8"/>
  <c r="E53" i="56"/>
  <c r="E52" i="56"/>
  <c r="E51" i="56"/>
  <c r="E50" i="56"/>
  <c r="E49" i="56"/>
  <c r="E48" i="56"/>
  <c r="E47" i="56"/>
  <c r="E46" i="56"/>
  <c r="E45" i="56"/>
  <c r="E44" i="56"/>
  <c r="E43" i="56"/>
  <c r="E42" i="56"/>
  <c r="E41" i="56"/>
  <c r="E40" i="56"/>
  <c r="E39" i="56"/>
  <c r="E38" i="56"/>
  <c r="E37" i="56"/>
  <c r="E36" i="56"/>
  <c r="E35" i="56"/>
  <c r="E34" i="56"/>
  <c r="E33" i="56"/>
  <c r="E32" i="56"/>
  <c r="E31" i="56"/>
  <c r="E30" i="56"/>
  <c r="E29" i="56"/>
  <c r="E28" i="56"/>
  <c r="E27" i="56"/>
  <c r="E26" i="56"/>
  <c r="E25" i="56"/>
  <c r="E24" i="56"/>
  <c r="E23" i="56"/>
  <c r="E22" i="56"/>
  <c r="E21" i="56"/>
  <c r="E20" i="56"/>
  <c r="E19" i="56"/>
  <c r="E18" i="56"/>
  <c r="E17" i="56"/>
  <c r="E16" i="56"/>
  <c r="E15" i="56"/>
  <c r="E14" i="56"/>
  <c r="E13" i="56"/>
  <c r="E12" i="56"/>
  <c r="E11" i="56"/>
  <c r="E10" i="56"/>
  <c r="E9" i="56"/>
  <c r="E8" i="56"/>
  <c r="D53" i="56"/>
  <c r="D52" i="56"/>
  <c r="D51" i="56"/>
  <c r="D50" i="56"/>
  <c r="D49" i="56"/>
  <c r="D48" i="56"/>
  <c r="D47" i="56"/>
  <c r="D46" i="56"/>
  <c r="D45" i="56"/>
  <c r="D44" i="56"/>
  <c r="D43" i="56"/>
  <c r="D42" i="56"/>
  <c r="D41" i="56"/>
  <c r="D40" i="56"/>
  <c r="D39" i="56"/>
  <c r="D38" i="56"/>
  <c r="D37" i="56"/>
  <c r="D36" i="56"/>
  <c r="D35" i="56"/>
  <c r="D34" i="56"/>
  <c r="D33" i="56"/>
  <c r="D32" i="56"/>
  <c r="D31" i="56"/>
  <c r="D30" i="56"/>
  <c r="D29" i="56"/>
  <c r="D28" i="56"/>
  <c r="D27" i="56"/>
  <c r="D26" i="56"/>
  <c r="D25" i="56"/>
  <c r="D24" i="56"/>
  <c r="D23" i="56"/>
  <c r="D22" i="56"/>
  <c r="D21" i="56"/>
  <c r="D20" i="56"/>
  <c r="D19" i="56"/>
  <c r="D18" i="56"/>
  <c r="D17" i="56"/>
  <c r="D16" i="56"/>
  <c r="D15" i="56"/>
  <c r="D14" i="56"/>
  <c r="D13" i="56"/>
  <c r="D12" i="56"/>
  <c r="D11" i="56"/>
  <c r="D10" i="56"/>
  <c r="D9" i="56"/>
  <c r="D8" i="56"/>
  <c r="C53" i="56"/>
  <c r="C52" i="56"/>
  <c r="C51" i="56"/>
  <c r="C50" i="56"/>
  <c r="C49" i="56"/>
  <c r="C48" i="56"/>
  <c r="C47" i="56"/>
  <c r="C46" i="56"/>
  <c r="C45" i="56"/>
  <c r="C44" i="56"/>
  <c r="C43" i="56"/>
  <c r="C42" i="56"/>
  <c r="C41" i="56"/>
  <c r="C40" i="56"/>
  <c r="C39" i="56"/>
  <c r="C38" i="56"/>
  <c r="C37" i="56"/>
  <c r="C36" i="56"/>
  <c r="C35" i="56"/>
  <c r="C34" i="56"/>
  <c r="C33" i="56"/>
  <c r="C32" i="56"/>
  <c r="C31" i="56"/>
  <c r="C30" i="56"/>
  <c r="C29" i="56"/>
  <c r="C28" i="56"/>
  <c r="C27" i="56"/>
  <c r="C26" i="56"/>
  <c r="C25" i="56"/>
  <c r="C24" i="56"/>
  <c r="C23" i="56"/>
  <c r="C22" i="56"/>
  <c r="C21" i="56"/>
  <c r="C20" i="56"/>
  <c r="C19" i="56"/>
  <c r="C18" i="56"/>
  <c r="C17" i="56"/>
  <c r="C16" i="56"/>
  <c r="C15" i="56"/>
  <c r="C14" i="56"/>
  <c r="C13" i="56"/>
  <c r="C12" i="56"/>
  <c r="C11" i="56"/>
  <c r="C10" i="56"/>
  <c r="C9" i="56"/>
  <c r="C8" i="56"/>
  <c r="D19" i="7"/>
  <c r="J18" i="7"/>
  <c r="A18" i="7"/>
  <c r="I18" i="7" s="1"/>
  <c r="A17" i="7"/>
  <c r="I17" i="7" s="1"/>
  <c r="J17" i="7" s="1"/>
  <c r="A16" i="7"/>
  <c r="I16" i="7" s="1"/>
  <c r="J16" i="7" s="1"/>
  <c r="A15" i="7"/>
  <c r="I15" i="7" s="1"/>
  <c r="J15" i="7" s="1"/>
  <c r="A14" i="7"/>
  <c r="I14" i="7" s="1"/>
  <c r="J14" i="7" s="1"/>
  <c r="A13" i="7"/>
  <c r="I13" i="7" s="1"/>
  <c r="J13" i="7" s="1"/>
  <c r="A12" i="7"/>
  <c r="I12" i="7" s="1"/>
  <c r="J12" i="7" s="1"/>
  <c r="C3" i="7"/>
  <c r="C7" i="56"/>
  <c r="D19" i="6"/>
  <c r="J18" i="6"/>
  <c r="A18" i="6"/>
  <c r="I18" i="6" s="1"/>
  <c r="A17" i="6"/>
  <c r="I17" i="6" s="1"/>
  <c r="J17" i="6" s="1"/>
  <c r="A16" i="6"/>
  <c r="I16" i="6" s="1"/>
  <c r="J16" i="6" s="1"/>
  <c r="A15" i="6"/>
  <c r="I15" i="6" s="1"/>
  <c r="J15" i="6" s="1"/>
  <c r="A14" i="6"/>
  <c r="I14" i="6" s="1"/>
  <c r="J14" i="6" s="1"/>
  <c r="A13" i="6"/>
  <c r="I13" i="6" s="1"/>
  <c r="J13" i="6" s="1"/>
  <c r="I12" i="6"/>
  <c r="J12" i="6" s="1"/>
  <c r="A12" i="6"/>
  <c r="C3" i="6"/>
  <c r="C6" i="56"/>
  <c r="C5" i="56"/>
  <c r="D7" i="56"/>
  <c r="D6" i="56"/>
  <c r="D5" i="56"/>
  <c r="E7" i="56"/>
  <c r="E6" i="56"/>
  <c r="E5" i="56"/>
  <c r="C3" i="5"/>
  <c r="C9" i="1"/>
  <c r="C10" i="1"/>
  <c r="C8" i="1"/>
  <c r="I13" i="1"/>
  <c r="I14" i="1"/>
  <c r="I15" i="1"/>
  <c r="I16" i="1"/>
  <c r="I17" i="1"/>
  <c r="J19" i="8" l="1"/>
  <c r="F10" i="56" s="1"/>
  <c r="J19" i="75"/>
  <c r="F29" i="56" s="1"/>
  <c r="J19" i="70"/>
  <c r="F25" i="56" s="1"/>
  <c r="J19" i="66"/>
  <c r="F21" i="56" s="1"/>
  <c r="J19" i="61"/>
  <c r="F17" i="56" s="1"/>
  <c r="H54" i="56"/>
  <c r="J19" i="73"/>
  <c r="F27" i="56" s="1"/>
  <c r="J19" i="68"/>
  <c r="F23" i="56" s="1"/>
  <c r="J19" i="64"/>
  <c r="F19" i="56" s="1"/>
  <c r="F16" i="56"/>
  <c r="J19" i="76"/>
  <c r="F30" i="56" s="1"/>
  <c r="J19" i="74"/>
  <c r="F28" i="56" s="1"/>
  <c r="J19" i="71"/>
  <c r="F26" i="56" s="1"/>
  <c r="J19" i="69"/>
  <c r="F24" i="56" s="1"/>
  <c r="J19" i="67"/>
  <c r="F22" i="56" s="1"/>
  <c r="J19" i="65"/>
  <c r="F20" i="56" s="1"/>
  <c r="J19" i="62"/>
  <c r="F18" i="56" s="1"/>
  <c r="J19" i="60"/>
  <c r="J19" i="9"/>
  <c r="F12" i="56" s="1"/>
  <c r="J19" i="7"/>
  <c r="F9" i="56" s="1"/>
  <c r="J19" i="96"/>
  <c r="F50" i="56" s="1"/>
  <c r="J19" i="100"/>
  <c r="J19" i="98"/>
  <c r="F52" i="56" s="1"/>
  <c r="J19" i="59"/>
  <c r="F15" i="56" s="1"/>
  <c r="J19" i="99"/>
  <c r="F53" i="56" s="1"/>
  <c r="J19" i="97"/>
  <c r="F51" i="56" s="1"/>
  <c r="J19" i="95"/>
  <c r="F49" i="56" s="1"/>
  <c r="J19" i="94"/>
  <c r="F48" i="56" s="1"/>
  <c r="J19" i="93"/>
  <c r="F47" i="56" s="1"/>
  <c r="J19" i="91"/>
  <c r="F45" i="56" s="1"/>
  <c r="J19" i="89"/>
  <c r="F43" i="56" s="1"/>
  <c r="J19" i="87"/>
  <c r="F41" i="56" s="1"/>
  <c r="J19" i="85"/>
  <c r="F39" i="56" s="1"/>
  <c r="J19" i="83"/>
  <c r="F37" i="56" s="1"/>
  <c r="J19" i="81"/>
  <c r="F35" i="56" s="1"/>
  <c r="J19" i="79"/>
  <c r="F33" i="56" s="1"/>
  <c r="J19" i="77"/>
  <c r="F31" i="56" s="1"/>
  <c r="J19" i="92"/>
  <c r="F46" i="56" s="1"/>
  <c r="J19" i="90"/>
  <c r="F44" i="56" s="1"/>
  <c r="J19" i="88"/>
  <c r="F42" i="56" s="1"/>
  <c r="J19" i="86"/>
  <c r="F40" i="56" s="1"/>
  <c r="J19" i="84"/>
  <c r="F38" i="56" s="1"/>
  <c r="J19" i="82"/>
  <c r="F36" i="56" s="1"/>
  <c r="J19" i="80"/>
  <c r="F34" i="56" s="1"/>
  <c r="J19" i="78"/>
  <c r="F32" i="56" s="1"/>
  <c r="J19" i="57"/>
  <c r="F13" i="56" s="1"/>
  <c r="J19" i="58"/>
  <c r="F14" i="56" s="1"/>
  <c r="J19" i="10"/>
  <c r="F11" i="56" s="1"/>
  <c r="J19" i="6"/>
  <c r="F8" i="56" s="1"/>
  <c r="D16" i="4"/>
  <c r="C3" i="4" l="1"/>
  <c r="D2" i="56"/>
  <c r="D18" i="1"/>
  <c r="G5" i="56"/>
  <c r="B53" i="56" l="1"/>
  <c r="G53" i="56" s="1"/>
  <c r="B52" i="56"/>
  <c r="G52" i="56" s="1"/>
  <c r="B51" i="56"/>
  <c r="G51" i="56" s="1"/>
  <c r="B50" i="56"/>
  <c r="G50" i="56" s="1"/>
  <c r="B49" i="56"/>
  <c r="G49" i="56" s="1"/>
  <c r="B48" i="56"/>
  <c r="G48" i="56" s="1"/>
  <c r="B47" i="56"/>
  <c r="G47" i="56" s="1"/>
  <c r="B46" i="56"/>
  <c r="G46" i="56" s="1"/>
  <c r="B45" i="56"/>
  <c r="G45" i="56" s="1"/>
  <c r="B44" i="56"/>
  <c r="G44" i="56" s="1"/>
  <c r="B43" i="56"/>
  <c r="G43" i="56" s="1"/>
  <c r="B42" i="56"/>
  <c r="G42" i="56" s="1"/>
  <c r="B41" i="56"/>
  <c r="G41" i="56" s="1"/>
  <c r="B40" i="56"/>
  <c r="G40" i="56" s="1"/>
  <c r="B39" i="56"/>
  <c r="G39" i="56" s="1"/>
  <c r="B38" i="56"/>
  <c r="G38" i="56" s="1"/>
  <c r="B37" i="56"/>
  <c r="G37" i="56" s="1"/>
  <c r="B36" i="56"/>
  <c r="G36" i="56" s="1"/>
  <c r="B35" i="56"/>
  <c r="G35" i="56" s="1"/>
  <c r="B34" i="56"/>
  <c r="G34" i="56" s="1"/>
  <c r="B33" i="56"/>
  <c r="G33" i="56" s="1"/>
  <c r="B32" i="56"/>
  <c r="G32" i="56" s="1"/>
  <c r="B31" i="56"/>
  <c r="G31" i="56" s="1"/>
  <c r="B30" i="56"/>
  <c r="G30" i="56" s="1"/>
  <c r="B29" i="56"/>
  <c r="G29" i="56" s="1"/>
  <c r="B28" i="56"/>
  <c r="G28" i="56" s="1"/>
  <c r="B27" i="56"/>
  <c r="G27" i="56" s="1"/>
  <c r="B26" i="56"/>
  <c r="G26" i="56" s="1"/>
  <c r="B25" i="56"/>
  <c r="G25" i="56" s="1"/>
  <c r="B24" i="56"/>
  <c r="G24" i="56" s="1"/>
  <c r="B23" i="56"/>
  <c r="G23" i="56" s="1"/>
  <c r="B22" i="56"/>
  <c r="G22" i="56" s="1"/>
  <c r="B21" i="56"/>
  <c r="G21" i="56" s="1"/>
  <c r="B20" i="56"/>
  <c r="G20" i="56" s="1"/>
  <c r="B19" i="56"/>
  <c r="G19" i="56" s="1"/>
  <c r="C2" i="4"/>
  <c r="C1" i="4"/>
  <c r="D1" i="56"/>
  <c r="H53" i="56" l="1"/>
  <c r="H52" i="56"/>
  <c r="H50" i="56"/>
  <c r="H49" i="56"/>
  <c r="H46" i="56"/>
  <c r="H45" i="56"/>
  <c r="H43" i="56"/>
  <c r="H38" i="56"/>
  <c r="H51" i="56"/>
  <c r="H48" i="56"/>
  <c r="H47" i="56"/>
  <c r="H44" i="56"/>
  <c r="H42" i="56"/>
  <c r="H41" i="56"/>
  <c r="H40" i="56"/>
  <c r="H39" i="56"/>
  <c r="H34" i="56" l="1"/>
  <c r="H31" i="56"/>
  <c r="H29" i="56"/>
  <c r="H27" i="56"/>
  <c r="H37" i="56"/>
  <c r="H36" i="56"/>
  <c r="H35" i="56"/>
  <c r="H33" i="56"/>
  <c r="H32" i="56"/>
  <c r="H30" i="56"/>
  <c r="H28" i="56"/>
  <c r="B18" i="56"/>
  <c r="G18" i="56" s="1"/>
  <c r="B17" i="56"/>
  <c r="G17" i="56" s="1"/>
  <c r="B16" i="56"/>
  <c r="G16" i="56" s="1"/>
  <c r="B15" i="56"/>
  <c r="G15" i="56" s="1"/>
  <c r="B14" i="56"/>
  <c r="G14" i="56" s="1"/>
  <c r="B13" i="56"/>
  <c r="G13" i="56" s="1"/>
  <c r="B12" i="56"/>
  <c r="G12" i="56" s="1"/>
  <c r="B11" i="56"/>
  <c r="G11" i="56" s="1"/>
  <c r="B10" i="56"/>
  <c r="G10" i="56" s="1"/>
  <c r="B9" i="56"/>
  <c r="G9" i="56" s="1"/>
  <c r="B8" i="56"/>
  <c r="G8" i="56" s="1"/>
  <c r="B7" i="56"/>
  <c r="G7" i="56" s="1"/>
  <c r="D19" i="5"/>
  <c r="D17" i="4"/>
  <c r="A16" i="4"/>
  <c r="I16" i="4" s="1"/>
  <c r="A15" i="4"/>
  <c r="A14" i="4"/>
  <c r="A13" i="4"/>
  <c r="A12" i="4"/>
  <c r="A11" i="4"/>
  <c r="I12" i="4" l="1"/>
  <c r="J12" i="4" s="1"/>
  <c r="I14" i="4"/>
  <c r="J14" i="4" s="1"/>
  <c r="I11" i="4"/>
  <c r="J11" i="4" s="1"/>
  <c r="I13" i="4"/>
  <c r="J13" i="4" s="1"/>
  <c r="I15" i="4"/>
  <c r="J15" i="4" s="1"/>
  <c r="J16" i="4"/>
  <c r="G6" i="56"/>
  <c r="H10" i="56"/>
  <c r="H26" i="56"/>
  <c r="H24" i="56"/>
  <c r="H23" i="56"/>
  <c r="H20" i="56"/>
  <c r="H19" i="56"/>
  <c r="H14" i="56"/>
  <c r="H13" i="56"/>
  <c r="H25" i="56"/>
  <c r="H22" i="56"/>
  <c r="H21" i="56"/>
  <c r="H18" i="56"/>
  <c r="H15" i="56"/>
  <c r="H12" i="56"/>
  <c r="H11" i="56"/>
  <c r="H9" i="56"/>
  <c r="H8" i="56"/>
  <c r="J17" i="4" l="1"/>
  <c r="H6" i="56" s="1"/>
  <c r="H17" i="56"/>
  <c r="H16" i="56"/>
  <c r="A18" i="5"/>
  <c r="A17" i="5"/>
  <c r="A16" i="5"/>
  <c r="A15" i="5"/>
  <c r="A14" i="5"/>
  <c r="A13" i="5"/>
  <c r="A12" i="5"/>
  <c r="I12" i="5" l="1"/>
  <c r="J12" i="5" s="1"/>
  <c r="I14" i="5"/>
  <c r="J14" i="5" s="1"/>
  <c r="I16" i="5"/>
  <c r="J16" i="5" s="1"/>
  <c r="I13" i="5"/>
  <c r="J13" i="5" s="1"/>
  <c r="I15" i="5"/>
  <c r="J15" i="5" s="1"/>
  <c r="J18" i="5"/>
  <c r="I18" i="5"/>
  <c r="J17" i="5"/>
  <c r="I17" i="5"/>
  <c r="J19" i="5" l="1"/>
  <c r="F7" i="56" s="1"/>
  <c r="H7" i="56" s="1"/>
  <c r="D19" i="1"/>
  <c r="A14" i="1"/>
  <c r="J14" i="1" s="1"/>
  <c r="A15" i="1"/>
  <c r="J15" i="1" s="1"/>
  <c r="A16" i="1"/>
  <c r="A17" i="1"/>
  <c r="A18" i="1"/>
  <c r="I18" i="1" s="1"/>
  <c r="A13" i="1"/>
  <c r="J18" i="1" l="1"/>
  <c r="J17" i="1"/>
  <c r="J13" i="1"/>
  <c r="J16" i="1"/>
  <c r="J19" i="1" l="1"/>
  <c r="F5" i="56" l="1"/>
  <c r="H5" i="56" s="1"/>
</calcChain>
</file>

<file path=xl/comments1.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2" authorId="0" shapeId="0">
      <text>
        <r>
          <rPr>
            <sz val="11"/>
            <color theme="1"/>
            <rFont val="Calibri"/>
            <family val="2"/>
            <scheme val="minor"/>
          </rPr>
          <t>Definición clara y concisa de lo que se va a medir (no necesario incluir el Umbral de consecución)</t>
        </r>
      </text>
    </comment>
    <comment ref="C12"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2" authorId="2" shapeId="0">
      <text>
        <r>
          <rPr>
            <sz val="11"/>
            <color theme="1"/>
            <rFont val="Calibri"/>
            <family val="2"/>
            <scheme val="minor"/>
          </rPr>
          <t>Considerar los límites mínimos y máximos de ponderación para cada objetivo que se establecen en el Manual de Evaluación del Desempeño</t>
        </r>
      </text>
    </comment>
    <comment ref="E12"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2"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2"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2"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0" authorId="0" shapeId="0">
      <text>
        <r>
          <rPr>
            <sz val="11"/>
            <color theme="1"/>
            <rFont val="Calibri"/>
            <family val="2"/>
            <scheme val="minor"/>
          </rPr>
          <t>Definición clara y concisa de lo que se va a medir (no necesario incluir el Umbral de consecución)</t>
        </r>
      </text>
    </comment>
    <comment ref="C10"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0" authorId="2" shapeId="0">
      <text>
        <r>
          <rPr>
            <sz val="11"/>
            <color theme="1"/>
            <rFont val="Calibri"/>
            <family val="2"/>
            <scheme val="minor"/>
          </rPr>
          <t>Considerar los límites mínimos y máximos de ponderación para cada objetivo que se establecen en el Manual de Evaluación del Desempeño</t>
        </r>
      </text>
    </comment>
    <comment ref="E10"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0"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0"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0"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5.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6.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7.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8.xml><?xml version="1.0" encoding="utf-8"?>
<comments xmlns="http://schemas.openxmlformats.org/spreadsheetml/2006/main">
  <authors>
    <author>tc={CCC6B7BC-58D4-414A-B2AA-A5935C49751F}</author>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B11" authorId="0" shapeId="0">
      <text>
        <r>
          <rPr>
            <sz val="11"/>
            <color theme="1"/>
            <rFont val="Calibri"/>
            <family val="2"/>
            <scheme val="minor"/>
          </rPr>
          <t>Definición clara y concisa de lo que se va a medir (no necesario incluir el Umbral de consecución)</t>
        </r>
      </text>
    </comment>
    <comment ref="C11" authorId="1"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11" authorId="2" shapeId="0">
      <text>
        <r>
          <rPr>
            <sz val="11"/>
            <color theme="1"/>
            <rFont val="Calibri"/>
            <family val="2"/>
            <scheme val="minor"/>
          </rPr>
          <t>Considerar los límites mínimos y máximos de ponderación para cada objetivo que se establecen en el Manual de Evaluación del Desempeño</t>
        </r>
      </text>
    </comment>
    <comment ref="E11" authorId="3"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11" authorId="4"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11" authorId="5"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11" authorId="6"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9.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0.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1.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2.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3.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4.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5.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6.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7.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8.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19.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0.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1.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2.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3.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4.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5.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6.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7.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8.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29.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0.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1.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2.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3.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4.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5.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6.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7.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8.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39.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0.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1.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2.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3.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4.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5.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6.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7.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8.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49.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50.xml><?xml version="1.0" encoding="utf-8"?>
<comments xmlns="http://schemas.openxmlformats.org/spreadsheetml/2006/main">
  <authors>
    <author>tc={9A5AF991-DD67-4E55-8D87-1B0D5FE62993}</author>
    <author>tc={507BC5F7-5E80-451C-9D40-B6EA7E0099E4}</author>
    <author>tc={06E7C513-6423-4D2B-828B-476A06F171E1}</author>
    <author>tc={EFD82D7B-0944-4AF7-832F-01B0ECDCE9B5}</author>
    <author>tc={459B309C-52A7-49A5-B984-B3D4B800ED70}</author>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 ref="D9" authorId="1" shapeId="0">
      <text>
        <r>
          <rPr>
            <sz val="11"/>
            <color theme="1"/>
            <rFont val="Calibri"/>
            <family val="2"/>
            <scheme val="minor"/>
          </rPr>
          <t>Considerar los límites mínimos y máximos de ponderación para cada objetivo que se establecen en el Manual de Evaluación del Desempeño</t>
        </r>
      </text>
    </comment>
    <comment ref="E9" authorId="2" shapeId="0">
      <text>
        <r>
          <rPr>
            <sz val="11"/>
            <color theme="1"/>
            <rFont val="Calibri"/>
            <family val="2"/>
            <scheme val="minor"/>
          </rPr>
          <t>Indicar si lo que se mide es un “número” de ejecuciones de aquello que se ha descrito en el Objetivo o un “porcentaje” (que considera la ejecución respecto de un total)</t>
        </r>
      </text>
    </comment>
    <comment ref="F9" authorId="3" shapeId="0">
      <text>
        <r>
          <rPr>
            <sz val="11"/>
            <color theme="1"/>
            <rFont val="Calibri"/>
            <family val="2"/>
            <scheme val="minor"/>
          </rPr>
          <t xml:space="preserve">Indicar cual es el valor a superar (en el caso de ser al alza) o no superar (en el caso de ser a la baja). Se indica en números enteros, con independencia de que se trate de categoría "Número" o "Porcentaje"
</t>
        </r>
      </text>
    </comment>
    <comment ref="G9" authorId="4" shapeId="0">
      <text>
        <r>
          <rPr>
            <b/>
            <sz val="11"/>
            <color theme="1"/>
            <rFont val="Calibri"/>
            <family val="2"/>
            <scheme val="minor"/>
          </rPr>
          <t>Alza:</t>
        </r>
        <r>
          <rPr>
            <sz val="11"/>
            <color theme="1"/>
            <rFont val="Calibri"/>
            <family val="2"/>
            <scheme val="minor"/>
          </rPr>
          <t xml:space="preserve"> </t>
        </r>
        <r>
          <rPr>
            <b/>
            <sz val="11"/>
            <color theme="1"/>
            <rFont val="Calibri"/>
            <family val="2"/>
            <scheme val="minor"/>
          </rPr>
          <t>SÍ</t>
        </r>
        <r>
          <rPr>
            <sz val="11"/>
            <color theme="1"/>
            <rFont val="Calibri"/>
            <family val="2"/>
            <scheme val="minor"/>
          </rPr>
          <t xml:space="preserve"> se debe superar el valor especificado en el umbral para que puntúe positivamente
</t>
        </r>
        <r>
          <rPr>
            <b/>
            <sz val="11"/>
            <color theme="1"/>
            <rFont val="Calibri"/>
            <family val="2"/>
            <scheme val="minor"/>
          </rPr>
          <t>Baja:</t>
        </r>
        <r>
          <rPr>
            <sz val="11"/>
            <color theme="1"/>
            <rFont val="Calibri"/>
            <family val="2"/>
            <scheme val="minor"/>
          </rPr>
          <t xml:space="preserve"> </t>
        </r>
        <r>
          <rPr>
            <b/>
            <sz val="11"/>
            <color theme="1"/>
            <rFont val="Calibri"/>
            <family val="2"/>
            <scheme val="minor"/>
          </rPr>
          <t>NO</t>
        </r>
        <r>
          <rPr>
            <sz val="11"/>
            <color theme="1"/>
            <rFont val="Calibri"/>
            <family val="2"/>
            <scheme val="minor"/>
          </rPr>
          <t xml:space="preserve"> se debe superar el valor especificado en el umbral para que puntúe positivamente</t>
        </r>
      </text>
    </comment>
    <comment ref="H9" authorId="5" shapeId="0">
      <text>
        <r>
          <rPr>
            <sz val="11"/>
            <color theme="1"/>
            <rFont val="Calibri"/>
            <family val="2"/>
            <scheme val="minor"/>
          </rPr>
          <t>Indicar, al final del periodo de evaluación, cual es el valor obtenido. Se indica en números enteros, con independencia de que se trate de categoría "Número" o "Porcentaje"</t>
        </r>
      </text>
    </comment>
  </commentList>
</comments>
</file>

<file path=xl/comments51.xml><?xml version="1.0" encoding="utf-8"?>
<comments xmlns="http://schemas.openxmlformats.org/spreadsheetml/2006/main">
  <authors>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List>
</comments>
</file>

<file path=xl/comments52.xml><?xml version="1.0" encoding="utf-8"?>
<comments xmlns="http://schemas.openxmlformats.org/spreadsheetml/2006/main">
  <authors>
    <author>tc={14BDA03E-62FC-494D-9BEB-66D20224660B}</author>
  </authors>
  <commentList>
    <comment ref="C9" authorId="0" shapeId="0">
      <text>
        <r>
          <rPr>
            <sz val="11"/>
            <color theme="1"/>
            <rFont val="Calibri"/>
            <family val="2"/>
            <scheme val="minor"/>
          </rPr>
          <t>Indicar si la consecución del Objetivo depende únicamente de su actuación (individual) o si requiere de la aportación de otras personas de su unidad (colectivo)</t>
        </r>
      </text>
    </comment>
  </commentList>
</comments>
</file>

<file path=xl/sharedStrings.xml><?xml version="1.0" encoding="utf-8"?>
<sst xmlns="http://schemas.openxmlformats.org/spreadsheetml/2006/main" count="1965" uniqueCount="67">
  <si>
    <t>Supervisor/a</t>
  </si>
  <si>
    <t>ID</t>
  </si>
  <si>
    <t>Puntuación Final</t>
  </si>
  <si>
    <t>Resultado Alcanzado</t>
  </si>
  <si>
    <r>
      <rPr>
        <b/>
        <sz val="8"/>
        <color theme="1"/>
        <rFont val="Arial"/>
        <family val="2"/>
      </rPr>
      <t>Objetivo</t>
    </r>
    <r>
      <rPr>
        <sz val="8"/>
        <color theme="1"/>
        <rFont val="Arial"/>
        <family val="2"/>
      </rPr>
      <t xml:space="preserve"> (Descripción)</t>
    </r>
  </si>
  <si>
    <r>
      <rPr>
        <b/>
        <sz val="8"/>
        <color theme="1"/>
        <rFont val="Arial"/>
        <family val="2"/>
      </rPr>
      <t>Tipo Objetivo</t>
    </r>
    <r>
      <rPr>
        <sz val="8"/>
        <color theme="1"/>
        <rFont val="Arial"/>
        <family val="2"/>
      </rPr>
      <t xml:space="preserve"> (Individual/Colectivo)</t>
    </r>
  </si>
  <si>
    <r>
      <rPr>
        <b/>
        <sz val="8"/>
        <color theme="1"/>
        <rFont val="Arial"/>
        <family val="2"/>
      </rPr>
      <t>Ponderación / Peso Objetivo</t>
    </r>
    <r>
      <rPr>
        <sz val="8"/>
        <color theme="1"/>
        <rFont val="Arial"/>
        <family val="2"/>
      </rPr>
      <t xml:space="preserve"> (%)</t>
    </r>
  </si>
  <si>
    <r>
      <rPr>
        <b/>
        <sz val="8"/>
        <color theme="1"/>
        <rFont val="Arial"/>
        <family val="2"/>
      </rPr>
      <t xml:space="preserve">Umbral </t>
    </r>
    <r>
      <rPr>
        <sz val="8"/>
        <color theme="1"/>
        <rFont val="Arial"/>
        <family val="2"/>
      </rPr>
      <t>(nivel de consecución esperado)</t>
    </r>
  </si>
  <si>
    <r>
      <rPr>
        <b/>
        <sz val="8"/>
        <color theme="1"/>
        <rFont val="Arial"/>
        <family val="2"/>
      </rPr>
      <t>Superación</t>
    </r>
    <r>
      <rPr>
        <sz val="8"/>
        <color theme="1"/>
        <rFont val="Arial"/>
        <family val="2"/>
      </rPr>
      <t xml:space="preserve"> (Alza/Baja)</t>
    </r>
  </si>
  <si>
    <r>
      <rPr>
        <b/>
        <sz val="8"/>
        <color theme="1"/>
        <rFont val="Arial"/>
        <family val="2"/>
      </rPr>
      <t>Superación Umbral</t>
    </r>
    <r>
      <rPr>
        <sz val="8"/>
        <color theme="1"/>
        <rFont val="Arial"/>
        <family val="2"/>
      </rPr>
      <t xml:space="preserve"> (SÍ/NO)</t>
    </r>
  </si>
  <si>
    <t>Total porcentaje asignado</t>
  </si>
  <si>
    <t>Puesto evaluado</t>
  </si>
  <si>
    <r>
      <rPr>
        <b/>
        <sz val="8"/>
        <color theme="1"/>
        <rFont val="Arial"/>
        <family val="2"/>
      </rPr>
      <t>Categoría</t>
    </r>
    <r>
      <rPr>
        <sz val="8"/>
        <color theme="1"/>
        <rFont val="Arial"/>
        <family val="2"/>
      </rPr>
      <t xml:space="preserve"> (Número/Porcentaje)</t>
    </r>
  </si>
  <si>
    <t>Individual</t>
  </si>
  <si>
    <t>Colectivo</t>
  </si>
  <si>
    <t>Número</t>
  </si>
  <si>
    <t>Alza</t>
  </si>
  <si>
    <t xml:space="preserve">DNI </t>
  </si>
  <si>
    <t>DNI</t>
  </si>
  <si>
    <t>Realizar al menos 15 horas de formación "no obligatoria" en el periodo a evaluar, con las consideraciones recogidas en el Manual de ED</t>
  </si>
  <si>
    <t>Atender y conversar la totalidad de propuestas de mejora presentadas por el equipo en un plazo máximo de 2 meses desde su presentación.</t>
  </si>
  <si>
    <t>Desarrollo de dos conversaciones individuales de feedback al año con las personas bajo tu responsabilidad y/o con tu responsable directo para llevar a cabo una valoración mutua del desarrollo de la actividad.</t>
  </si>
  <si>
    <t>Presentar los objetivos de desempeño de todo su personal a la Comisión de Garantías de la Evaluación del Desempeño antes del 31 de mayo.</t>
  </si>
  <si>
    <t>Presentar el resultado de evaluación de objetivos de desempeño de todo su personal a la Comisión de Garantías de la Evaluación del Desempeño antes del 1 de septiembre.</t>
  </si>
  <si>
    <t>Programa</t>
  </si>
  <si>
    <t>Supervisor/a Intermedio</t>
  </si>
  <si>
    <t>ROL</t>
  </si>
  <si>
    <r>
      <rPr>
        <b/>
        <sz val="8"/>
        <color theme="1"/>
        <rFont val="Arial"/>
        <family val="2"/>
      </rPr>
      <t xml:space="preserve">Puntuación aportada      </t>
    </r>
    <r>
      <rPr>
        <sz val="8"/>
        <color theme="1"/>
        <rFont val="Arial"/>
        <family val="2"/>
      </rPr>
      <t>(0 - 100)</t>
    </r>
  </si>
  <si>
    <t>Unidad Organizativa</t>
  </si>
  <si>
    <t>Realizar al menos 15 horas de formación "no obligatoria" en el periodo a evaluar, con las consideraciones recogidas en el Reglamento de ED</t>
  </si>
  <si>
    <t>Colaborador/a</t>
  </si>
  <si>
    <r>
      <rPr>
        <b/>
        <sz val="8"/>
        <color theme="1"/>
        <rFont val="Arial"/>
        <family val="2"/>
      </rPr>
      <t>Puntuación aportada</t>
    </r>
    <r>
      <rPr>
        <sz val="8"/>
        <color theme="1"/>
        <rFont val="Arial"/>
        <family val="2"/>
      </rPr>
      <t xml:space="preserve">      (0 - 100)</t>
    </r>
  </si>
  <si>
    <r>
      <t xml:space="preserve">Realizar, de forma conjunta por los miembros de la unidad, </t>
    </r>
    <r>
      <rPr>
        <b/>
        <sz val="8"/>
        <color theme="1"/>
        <rFont val="Arial"/>
        <family val="2"/>
      </rPr>
      <t>una</t>
    </r>
    <r>
      <rPr>
        <sz val="8"/>
        <color theme="1"/>
        <rFont val="Arial"/>
        <family val="2"/>
      </rPr>
      <t xml:space="preserve"> propuesta de mejora sobre la actividad que se realiza, en la que se haya indicado los siguientes aspectos "..." En el supuesto de no ser posible/viable realizar la propuesta de forma conjunta, se podrá presentar de forma individual.</t>
    </r>
  </si>
  <si>
    <r>
      <t xml:space="preserve">Desarrollo de </t>
    </r>
    <r>
      <rPr>
        <b/>
        <sz val="8"/>
        <color theme="1"/>
        <rFont val="Arial"/>
        <family val="2"/>
      </rPr>
      <t>dos</t>
    </r>
    <r>
      <rPr>
        <sz val="8"/>
        <color theme="1"/>
        <rFont val="Arial"/>
        <family val="2"/>
      </rPr>
      <t xml:space="preserve"> conversaciones individuales de feedback al año con las personas bajo tu responsabilidad y/o con tu responsable directo para llevar a cabo una valoración mutua del desarrollo de la actividad.</t>
    </r>
  </si>
  <si>
    <r>
      <rPr>
        <i/>
        <sz val="12"/>
        <color theme="1"/>
        <rFont val="Wingdings"/>
        <charset val="2"/>
      </rPr>
      <t></t>
    </r>
    <r>
      <rPr>
        <i/>
        <sz val="12"/>
        <color theme="1"/>
        <rFont val="Calibri"/>
        <family val="2"/>
        <scheme val="minor"/>
      </rPr>
      <t>Nota:</t>
    </r>
    <r>
      <rPr>
        <sz val="12"/>
        <color theme="1"/>
        <rFont val="Calibri"/>
        <family val="2"/>
        <scheme val="minor"/>
      </rPr>
      <t xml:space="preserve"> Valor de la Ponderación / Peso Objetivo (%): </t>
    </r>
  </si>
  <si>
    <r>
      <rPr>
        <sz val="12"/>
        <color theme="1"/>
        <rFont val="Wingdings"/>
        <charset val="2"/>
      </rPr>
      <t xml:space="preserve"> </t>
    </r>
    <r>
      <rPr>
        <sz val="12"/>
        <color theme="1"/>
        <rFont val="Calibri"/>
        <family val="2"/>
        <scheme val="minor"/>
      </rPr>
      <t xml:space="preserve">  El rango de los objetivos está entre 10 y 40. </t>
    </r>
  </si>
  <si>
    <r>
      <rPr>
        <sz val="12"/>
        <color theme="1"/>
        <rFont val="Wingdings"/>
        <charset val="2"/>
      </rPr>
      <t xml:space="preserve"> </t>
    </r>
    <r>
      <rPr>
        <sz val="12"/>
        <color theme="1"/>
        <rFont val="Calibri"/>
        <family val="2"/>
        <scheme val="minor"/>
      </rPr>
      <t xml:space="preserve">  </t>
    </r>
    <r>
      <rPr>
        <sz val="12"/>
        <color theme="1"/>
        <rFont val="Symbol"/>
        <family val="1"/>
        <charset val="2"/>
      </rPr>
      <t xml:space="preserve"> </t>
    </r>
    <r>
      <rPr>
        <sz val="12"/>
        <color theme="1"/>
        <rFont val="Calibri"/>
        <family val="2"/>
        <scheme val="minor"/>
      </rPr>
      <t>Total porcentaje = 100%</t>
    </r>
  </si>
  <si>
    <r>
      <rPr>
        <b/>
        <sz val="8"/>
        <color theme="1"/>
        <rFont val="Arial"/>
        <family val="2"/>
      </rPr>
      <t>Ir a</t>
    </r>
    <r>
      <rPr>
        <sz val="8"/>
        <color theme="1"/>
        <rFont val="Arial"/>
        <family val="2"/>
      </rPr>
      <t xml:space="preserve"> la hoja de cálculo número</t>
    </r>
  </si>
  <si>
    <t>Apellido1</t>
  </si>
  <si>
    <t>Apellido2</t>
  </si>
  <si>
    <t>Nombre</t>
  </si>
  <si>
    <t>Apellido2 Supervisor/a</t>
  </si>
  <si>
    <t>Nombre Supervisor/a</t>
  </si>
  <si>
    <t>Apellido1 Supervisor/a</t>
  </si>
  <si>
    <t>Periodo Evaluado</t>
  </si>
  <si>
    <t xml:space="preserve"> </t>
  </si>
  <si>
    <r>
      <t xml:space="preserve">BOLSA DEL PROGRAMA             </t>
    </r>
    <r>
      <rPr>
        <sz val="8"/>
        <color theme="1"/>
        <rFont val="Arial"/>
        <family val="2"/>
      </rPr>
      <t>(en caso de participación)</t>
    </r>
  </si>
  <si>
    <t>Antes de guardar como PDF o imprimir, filtrar y desmarcar las vacías.</t>
  </si>
  <si>
    <t>SERVICIOS OPERATIVOS</t>
  </si>
  <si>
    <t>ADMINISTRACION</t>
  </si>
  <si>
    <t>JUAN</t>
  </si>
  <si>
    <t>AUXILIAR ADMINISTRATIVO</t>
  </si>
  <si>
    <t>ENCARGADO GENERAL</t>
  </si>
  <si>
    <t>Porcentaje de encargos atendidos en la semana en curso</t>
  </si>
  <si>
    <t>Porcentaje</t>
  </si>
  <si>
    <t>Porcentaje de inicidencias gestionadas en la semana en curso</t>
  </si>
  <si>
    <t>MANUEL</t>
  </si>
  <si>
    <t>EJEMPLO</t>
  </si>
  <si>
    <t>12345678A</t>
  </si>
  <si>
    <t>JEFE</t>
  </si>
  <si>
    <t>JOSE</t>
  </si>
  <si>
    <t>23456789B</t>
  </si>
  <si>
    <t>12345679B</t>
  </si>
  <si>
    <t>NADIE</t>
  </si>
  <si>
    <t>MARIA</t>
  </si>
  <si>
    <t>ALGUIEN</t>
  </si>
  <si>
    <t>12345670C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</si>
</sst>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7"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sz val="8"/>
      <name val="Calibri"/>
      <family val="2"/>
      <scheme val="minor"/>
    </font>
    <font>
      <sz val="8"/>
      <color theme="1"/>
      <name val="Arial"/>
      <family val="2"/>
    </font>
    <font>
      <b/>
      <sz val="8"/>
      <color theme="1"/>
      <name val="Arial"/>
      <family val="2"/>
    </font>
    <font>
      <u/>
      <sz val="11"/>
      <color theme="10"/>
      <name val="Calibri"/>
      <family val="2"/>
      <scheme val="minor"/>
    </font>
    <font>
      <b/>
      <sz val="11"/>
      <color theme="1"/>
      <name val="Calibri"/>
      <family val="2"/>
      <scheme val="minor"/>
    </font>
    <font>
      <sz val="12"/>
      <color theme="1"/>
      <name val="Calibri"/>
      <family val="2"/>
      <scheme val="minor"/>
    </font>
    <font>
      <i/>
      <sz val="12"/>
      <color theme="1"/>
      <name val="Wingdings"/>
      <charset val="2"/>
    </font>
    <font>
      <i/>
      <sz val="12"/>
      <color theme="1"/>
      <name val="Calibri"/>
      <family val="2"/>
      <scheme val="minor"/>
    </font>
    <font>
      <sz val="12"/>
      <color theme="1"/>
      <name val="Wingdings"/>
      <charset val="2"/>
    </font>
    <font>
      <sz val="12"/>
      <color theme="1"/>
      <name val="Symbol"/>
      <family val="1"/>
      <charset val="2"/>
    </font>
    <font>
      <b/>
      <sz val="12"/>
      <color theme="1"/>
      <name val="Arial"/>
      <family val="2"/>
    </font>
    <font>
      <b/>
      <sz val="11"/>
      <color theme="1"/>
      <name val="Arial"/>
      <family val="2"/>
    </font>
    <font>
      <b/>
      <sz val="14"/>
      <color rgb="FF00B0F0"/>
      <name val="Calibri"/>
      <family val="2"/>
      <scheme val="minor"/>
    </font>
  </fonts>
  <fills count="10">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7" fillId="0" borderId="0" applyNumberFormat="0" applyFill="0" applyBorder="0" applyAlignment="0" applyProtection="0"/>
  </cellStyleXfs>
  <cellXfs count="85">
    <xf numFmtId="0" fontId="0" fillId="0" borderId="0" xfId="0"/>
    <xf numFmtId="0" fontId="5" fillId="5" borderId="1" xfId="0" applyFont="1" applyFill="1" applyBorder="1" applyAlignment="1" applyProtection="1">
      <alignment vertical="center" wrapText="1"/>
      <protection locked="0"/>
    </xf>
    <xf numFmtId="0" fontId="5" fillId="5" borderId="1" xfId="0" applyFont="1" applyFill="1" applyBorder="1" applyAlignment="1" applyProtection="1">
      <alignment horizontal="center" vertical="center" wrapText="1"/>
      <protection locked="0"/>
    </xf>
    <xf numFmtId="9" fontId="5" fillId="5" borderId="1" xfId="1" applyFont="1" applyFill="1" applyBorder="1" applyAlignment="1" applyProtection="1">
      <alignment horizontal="center" vertical="center" wrapText="1"/>
      <protection locked="0"/>
    </xf>
    <xf numFmtId="1" fontId="5" fillId="5" borderId="1" xfId="0" applyNumberFormat="1" applyFont="1" applyFill="1" applyBorder="1" applyAlignment="1" applyProtection="1">
      <alignment horizontal="center" vertical="center" wrapText="1"/>
      <protection locked="0"/>
    </xf>
    <xf numFmtId="0" fontId="3" fillId="0" borderId="0" xfId="0" applyFont="1" applyAlignment="1" applyProtection="1">
      <alignment vertical="center" wrapText="1"/>
    </xf>
    <xf numFmtId="0" fontId="3" fillId="0" borderId="0" xfId="0" applyFont="1" applyAlignment="1" applyProtection="1">
      <alignment horizontal="center" vertical="center" wrapText="1"/>
    </xf>
    <xf numFmtId="0" fontId="5" fillId="0" borderId="0" xfId="0" applyFont="1" applyAlignment="1" applyProtection="1">
      <alignment horizontal="center" vertical="center" wrapText="1"/>
    </xf>
    <xf numFmtId="0" fontId="5" fillId="7" borderId="1" xfId="0"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9" fontId="5" fillId="7" borderId="1" xfId="1" applyFont="1" applyFill="1" applyBorder="1" applyAlignment="1" applyProtection="1">
      <alignment horizontal="center" vertical="center" wrapText="1"/>
    </xf>
    <xf numFmtId="1" fontId="5" fillId="7" borderId="1" xfId="0" applyNumberFormat="1" applyFont="1" applyFill="1" applyBorder="1" applyAlignment="1" applyProtection="1">
      <alignment horizontal="center" vertical="center" wrapText="1"/>
    </xf>
    <xf numFmtId="0" fontId="5" fillId="6" borderId="1" xfId="0" applyFont="1" applyFill="1" applyBorder="1" applyAlignment="1" applyProtection="1">
      <alignment horizontal="center" vertical="center" wrapText="1"/>
    </xf>
    <xf numFmtId="0" fontId="5" fillId="0" borderId="0" xfId="0" applyFont="1" applyAlignment="1" applyProtection="1">
      <alignment vertical="center" wrapText="1"/>
    </xf>
    <xf numFmtId="0" fontId="0" fillId="0" borderId="0" xfId="0" applyBorder="1"/>
    <xf numFmtId="0" fontId="14" fillId="0" borderId="0" xfId="0" applyFont="1" applyFill="1" applyBorder="1" applyAlignment="1">
      <alignment vertical="center" wrapText="1"/>
    </xf>
    <xf numFmtId="0" fontId="0" fillId="0" borderId="0" xfId="0" applyFont="1" applyFill="1" applyBorder="1"/>
    <xf numFmtId="0" fontId="0" fillId="0" borderId="0" xfId="0" applyFill="1" applyBorder="1"/>
    <xf numFmtId="0" fontId="9" fillId="0" borderId="0" xfId="0" applyFont="1" applyBorder="1"/>
    <xf numFmtId="0" fontId="0" fillId="4" borderId="0" xfId="0" applyFill="1" applyBorder="1"/>
    <xf numFmtId="0" fontId="6" fillId="8"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wrapText="1"/>
    </xf>
    <xf numFmtId="0" fontId="5" fillId="8" borderId="5" xfId="0" applyFont="1" applyFill="1" applyBorder="1" applyAlignment="1" applyProtection="1">
      <alignment horizontal="center" vertical="center" wrapText="1"/>
    </xf>
    <xf numFmtId="0" fontId="5" fillId="5" borderId="5" xfId="0" applyFont="1" applyFill="1" applyBorder="1" applyAlignment="1" applyProtection="1">
      <alignment horizontal="center" vertical="center" wrapText="1"/>
      <protection locked="0"/>
    </xf>
    <xf numFmtId="9" fontId="5" fillId="7" borderId="5" xfId="1" applyFont="1" applyFill="1" applyBorder="1" applyAlignment="1" applyProtection="1">
      <alignment horizontal="center" vertical="center" wrapText="1"/>
    </xf>
    <xf numFmtId="1" fontId="5" fillId="5" borderId="5" xfId="0" applyNumberFormat="1" applyFont="1" applyFill="1" applyBorder="1" applyAlignment="1" applyProtection="1">
      <alignment horizontal="center" vertical="center" wrapText="1"/>
      <protection locked="0"/>
    </xf>
    <xf numFmtId="0" fontId="5" fillId="6" borderId="5" xfId="0" applyFont="1" applyFill="1" applyBorder="1" applyAlignment="1" applyProtection="1">
      <alignment horizontal="center" vertical="center" wrapText="1"/>
    </xf>
    <xf numFmtId="0" fontId="3" fillId="0" borderId="3" xfId="0" applyFont="1" applyBorder="1" applyAlignment="1" applyProtection="1">
      <alignment vertical="center" wrapText="1"/>
    </xf>
    <xf numFmtId="0" fontId="3" fillId="0" borderId="4" xfId="0" applyFont="1" applyBorder="1" applyAlignment="1" applyProtection="1">
      <alignment vertical="center" wrapText="1"/>
    </xf>
    <xf numFmtId="0" fontId="2" fillId="0" borderId="1" xfId="0" applyFont="1" applyBorder="1" applyAlignment="1" applyProtection="1">
      <alignment horizontal="center" vertical="center" wrapText="1"/>
    </xf>
    <xf numFmtId="9" fontId="3" fillId="6" borderId="3" xfId="0" applyNumberFormat="1" applyFont="1" applyFill="1" applyBorder="1" applyAlignment="1" applyProtection="1">
      <alignment horizontal="center" vertical="center" wrapText="1"/>
    </xf>
    <xf numFmtId="0" fontId="2" fillId="0" borderId="2" xfId="0" applyFont="1" applyBorder="1" applyAlignment="1" applyProtection="1">
      <alignment horizontal="center" vertical="center" wrapText="1"/>
    </xf>
    <xf numFmtId="0" fontId="3" fillId="0" borderId="2" xfId="0" applyFont="1" applyBorder="1" applyAlignment="1" applyProtection="1">
      <alignment vertical="center" wrapText="1"/>
    </xf>
    <xf numFmtId="0" fontId="9" fillId="4" borderId="0" xfId="0" applyFont="1" applyFill="1" applyBorder="1"/>
    <xf numFmtId="0" fontId="3" fillId="0" borderId="1" xfId="0" applyFont="1" applyBorder="1" applyAlignment="1" applyProtection="1">
      <alignment vertical="center" wrapText="1"/>
    </xf>
    <xf numFmtId="164" fontId="2" fillId="5" borderId="1" xfId="0" applyNumberFormat="1" applyFont="1" applyFill="1" applyBorder="1" applyAlignment="1" applyProtection="1">
      <alignment horizontal="center" vertical="center" wrapText="1"/>
      <protection locked="0"/>
    </xf>
    <xf numFmtId="0" fontId="0" fillId="0" borderId="0" xfId="0" applyBorder="1" applyProtection="1">
      <protection hidden="1"/>
    </xf>
    <xf numFmtId="164" fontId="2" fillId="9" borderId="1" xfId="0" applyNumberFormat="1" applyFont="1" applyFill="1" applyBorder="1" applyAlignment="1" applyProtection="1">
      <alignment horizontal="center" vertical="center" wrapText="1"/>
      <protection hidden="1"/>
    </xf>
    <xf numFmtId="0" fontId="5" fillId="6" borderId="5" xfId="0" applyFont="1" applyFill="1" applyBorder="1" applyAlignment="1" applyProtection="1">
      <alignment horizontal="center" vertical="center" wrapText="1"/>
      <protection hidden="1"/>
    </xf>
    <xf numFmtId="0" fontId="5" fillId="6" borderId="1" xfId="0" applyFont="1" applyFill="1" applyBorder="1" applyAlignment="1" applyProtection="1">
      <alignment horizontal="center" vertical="center" wrapText="1"/>
      <protection hidden="1"/>
    </xf>
    <xf numFmtId="9" fontId="3" fillId="6" borderId="2" xfId="0" applyNumberFormat="1" applyFont="1" applyFill="1" applyBorder="1" applyAlignment="1" applyProtection="1">
      <alignment horizontal="center" vertical="center" wrapText="1"/>
      <protection hidden="1"/>
    </xf>
    <xf numFmtId="0" fontId="6" fillId="6" borderId="1" xfId="0" applyFont="1" applyFill="1" applyBorder="1" applyAlignment="1" applyProtection="1">
      <alignment horizontal="center" vertical="center" wrapText="1"/>
      <protection hidden="1"/>
    </xf>
    <xf numFmtId="0" fontId="3" fillId="0" borderId="0" xfId="0" applyFont="1" applyAlignment="1" applyProtection="1">
      <alignment vertical="center" wrapText="1"/>
      <protection hidden="1"/>
    </xf>
    <xf numFmtId="0" fontId="2" fillId="0" borderId="2" xfId="0" applyFont="1" applyBorder="1" applyAlignment="1" applyProtection="1">
      <alignment horizontal="center" vertical="center" wrapText="1"/>
      <protection hidden="1"/>
    </xf>
    <xf numFmtId="9" fontId="3" fillId="6" borderId="1" xfId="0" applyNumberFormat="1" applyFont="1" applyFill="1" applyBorder="1" applyAlignment="1" applyProtection="1">
      <alignment horizontal="center" vertical="center" wrapText="1"/>
      <protection hidden="1"/>
    </xf>
    <xf numFmtId="0" fontId="2" fillId="8" borderId="1" xfId="0" applyFont="1" applyFill="1" applyBorder="1" applyAlignment="1" applyProtection="1">
      <alignment vertical="center" wrapText="1"/>
      <protection hidden="1"/>
    </xf>
    <xf numFmtId="0" fontId="5" fillId="0" borderId="0" xfId="0" applyFont="1" applyBorder="1" applyAlignment="1" applyProtection="1">
      <alignment vertical="center" wrapText="1"/>
      <protection hidden="1"/>
    </xf>
    <xf numFmtId="0" fontId="5" fillId="3" borderId="1" xfId="0" applyFont="1" applyFill="1" applyBorder="1" applyAlignment="1" applyProtection="1">
      <alignment horizontal="left" vertical="center" wrapText="1"/>
      <protection hidden="1"/>
    </xf>
    <xf numFmtId="0" fontId="6" fillId="3" borderId="1" xfId="0" applyFont="1" applyFill="1" applyBorder="1" applyAlignment="1" applyProtection="1">
      <alignment horizontal="center" vertical="center" wrapText="1"/>
      <protection hidden="1"/>
    </xf>
    <xf numFmtId="0" fontId="5" fillId="3" borderId="1" xfId="0" applyFont="1" applyFill="1" applyBorder="1" applyAlignment="1" applyProtection="1">
      <alignment horizontal="center" vertical="center" wrapText="1"/>
      <protection hidden="1"/>
    </xf>
    <xf numFmtId="0" fontId="6" fillId="0" borderId="0" xfId="0" applyFont="1" applyBorder="1" applyAlignment="1" applyProtection="1">
      <alignment horizontal="center" vertical="center" wrapText="1"/>
      <protection hidden="1"/>
    </xf>
    <xf numFmtId="0" fontId="7" fillId="0" borderId="1" xfId="2" applyFill="1" applyBorder="1" applyAlignment="1" applyProtection="1">
      <alignment horizontal="center" vertical="center" wrapText="1"/>
      <protection hidden="1"/>
    </xf>
    <xf numFmtId="0" fontId="5" fillId="0" borderId="1" xfId="0" applyFont="1" applyFill="1" applyBorder="1" applyAlignment="1" applyProtection="1">
      <alignment horizontal="center" vertical="center" wrapText="1"/>
      <protection hidden="1"/>
    </xf>
    <xf numFmtId="0" fontId="5" fillId="0" borderId="0" xfId="0" applyFont="1" applyBorder="1" applyAlignment="1" applyProtection="1">
      <alignment horizontal="center" vertical="center" wrapText="1"/>
      <protection hidden="1"/>
    </xf>
    <xf numFmtId="0" fontId="16" fillId="0" borderId="0" xfId="0" applyFont="1" applyBorder="1"/>
    <xf numFmtId="0" fontId="3" fillId="0" borderId="1" xfId="0" applyFont="1" applyFill="1" applyBorder="1" applyAlignment="1" applyProtection="1">
      <alignment horizontal="left" vertical="center" wrapText="1"/>
      <protection hidden="1"/>
    </xf>
    <xf numFmtId="0" fontId="6" fillId="9" borderId="1" xfId="0" applyFont="1" applyFill="1" applyBorder="1" applyAlignment="1" applyProtection="1">
      <alignment horizontal="center" vertical="center" wrapText="1"/>
      <protection hidden="1"/>
    </xf>
    <xf numFmtId="164" fontId="15" fillId="9" borderId="1" xfId="0" applyNumberFormat="1" applyFont="1" applyFill="1" applyBorder="1" applyAlignment="1" applyProtection="1">
      <alignment horizontal="center" vertical="center" wrapText="1"/>
      <protection hidden="1"/>
    </xf>
    <xf numFmtId="0" fontId="6" fillId="8" borderId="3" xfId="0" applyFont="1" applyFill="1" applyBorder="1" applyAlignment="1" applyProtection="1">
      <alignment horizontal="left" vertical="center" wrapText="1"/>
    </xf>
    <xf numFmtId="0" fontId="6" fillId="8" borderId="2" xfId="0" applyFont="1" applyFill="1" applyBorder="1" applyAlignment="1" applyProtection="1">
      <alignment horizontal="left" vertical="center" wrapText="1"/>
    </xf>
    <xf numFmtId="0" fontId="2" fillId="8" borderId="1" xfId="0" applyFont="1" applyFill="1" applyBorder="1" applyAlignment="1" applyProtection="1">
      <alignment horizontal="left" vertical="center" wrapText="1"/>
      <protection hidden="1"/>
    </xf>
    <xf numFmtId="0" fontId="2" fillId="8" borderId="1" xfId="0" applyFont="1" applyFill="1" applyBorder="1" applyAlignment="1" applyProtection="1">
      <alignment horizontal="left" vertical="center" wrapText="1"/>
    </xf>
    <xf numFmtId="0" fontId="6" fillId="9" borderId="3" xfId="0" applyFont="1" applyFill="1" applyBorder="1" applyAlignment="1" applyProtection="1">
      <alignment horizontal="center" vertical="center" wrapText="1"/>
    </xf>
    <xf numFmtId="0" fontId="6" fillId="9" borderId="2" xfId="0" applyFont="1" applyFill="1" applyBorder="1" applyAlignment="1" applyProtection="1">
      <alignment horizontal="center" vertical="center" wrapText="1"/>
    </xf>
    <xf numFmtId="0" fontId="3" fillId="5" borderId="3" xfId="0" applyFont="1" applyFill="1" applyBorder="1" applyAlignment="1" applyProtection="1">
      <alignment horizontal="left" vertical="center" wrapText="1"/>
      <protection locked="0"/>
    </xf>
    <xf numFmtId="0" fontId="3" fillId="5" borderId="4" xfId="0" applyFont="1" applyFill="1" applyBorder="1" applyAlignment="1" applyProtection="1">
      <alignment horizontal="left" vertical="center" wrapText="1"/>
      <protection locked="0"/>
    </xf>
    <xf numFmtId="0" fontId="3" fillId="5" borderId="2" xfId="0" applyFont="1" applyFill="1" applyBorder="1" applyAlignment="1" applyProtection="1">
      <alignment horizontal="left" vertical="center" wrapText="1"/>
      <protection locked="0"/>
    </xf>
    <xf numFmtId="0" fontId="3" fillId="8" borderId="3" xfId="0" applyFont="1" applyFill="1" applyBorder="1" applyAlignment="1" applyProtection="1">
      <alignment horizontal="left" vertical="center" wrapText="1"/>
      <protection hidden="1"/>
    </xf>
    <xf numFmtId="0" fontId="3" fillId="8" borderId="4" xfId="0" applyFont="1" applyFill="1" applyBorder="1" applyAlignment="1" applyProtection="1">
      <alignment horizontal="left" vertical="center" wrapText="1"/>
      <protection hidden="1"/>
    </xf>
    <xf numFmtId="0" fontId="3" fillId="8" borderId="2" xfId="0" applyFont="1" applyFill="1" applyBorder="1" applyAlignment="1" applyProtection="1">
      <alignment horizontal="left" vertical="center" wrapText="1"/>
      <protection hidden="1"/>
    </xf>
    <xf numFmtId="0" fontId="3" fillId="5"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horizontal="center" vertical="center" wrapText="1"/>
    </xf>
    <xf numFmtId="0" fontId="3" fillId="5" borderId="1" xfId="0" applyFont="1" applyFill="1" applyBorder="1" applyAlignment="1" applyProtection="1">
      <alignment horizontal="left" vertical="center" wrapText="1"/>
      <protection locked="0" hidden="1"/>
    </xf>
    <xf numFmtId="0" fontId="2" fillId="8" borderId="1" xfId="0" applyFont="1" applyFill="1" applyBorder="1" applyAlignment="1" applyProtection="1">
      <alignment horizontal="center" vertical="center" wrapText="1"/>
      <protection hidden="1"/>
    </xf>
    <xf numFmtId="0" fontId="2" fillId="8" borderId="1" xfId="0" applyFont="1" applyFill="1" applyBorder="1" applyAlignment="1" applyProtection="1">
      <alignment horizontal="center" vertical="center" wrapText="1"/>
    </xf>
    <xf numFmtId="0" fontId="3" fillId="2" borderId="3" xfId="0" applyFont="1" applyFill="1" applyBorder="1" applyAlignment="1" applyProtection="1">
      <alignment horizontal="left" vertical="center" wrapText="1"/>
    </xf>
    <xf numFmtId="0" fontId="3" fillId="2" borderId="4" xfId="0" applyFont="1" applyFill="1" applyBorder="1" applyAlignment="1" applyProtection="1">
      <alignment horizontal="left" vertical="center" wrapText="1"/>
    </xf>
    <xf numFmtId="0" fontId="3" fillId="2" borderId="2" xfId="0" applyFont="1" applyFill="1" applyBorder="1" applyAlignment="1" applyProtection="1">
      <alignment horizontal="left" vertical="center" wrapText="1"/>
    </xf>
    <xf numFmtId="0" fontId="3" fillId="2" borderId="1" xfId="0" applyFont="1" applyFill="1" applyBorder="1" applyAlignment="1" applyProtection="1">
      <alignment horizontal="center" vertical="center" wrapText="1"/>
      <protection hidden="1"/>
    </xf>
    <xf numFmtId="0" fontId="6" fillId="8" borderId="1" xfId="0" applyFont="1" applyFill="1" applyBorder="1" applyAlignment="1" applyProtection="1">
      <alignment horizontal="left" vertical="center" wrapText="1"/>
    </xf>
    <xf numFmtId="0" fontId="3" fillId="2" borderId="3" xfId="0" applyFont="1" applyFill="1" applyBorder="1" applyAlignment="1" applyProtection="1">
      <alignment horizontal="left" vertical="center" wrapText="1"/>
      <protection hidden="1"/>
    </xf>
    <xf numFmtId="0" fontId="3" fillId="2" borderId="4" xfId="0" applyFont="1" applyFill="1" applyBorder="1" applyAlignment="1" applyProtection="1">
      <alignment horizontal="left" vertical="center" wrapText="1"/>
      <protection hidden="1"/>
    </xf>
    <xf numFmtId="0" fontId="3" fillId="2" borderId="2" xfId="0" applyFont="1" applyFill="1" applyBorder="1" applyAlignment="1" applyProtection="1">
      <alignment horizontal="left" vertical="center" wrapText="1"/>
      <protection hidden="1"/>
    </xf>
    <xf numFmtId="0" fontId="3" fillId="2" borderId="1" xfId="0" applyFont="1" applyFill="1" applyBorder="1" applyAlignment="1" applyProtection="1">
      <alignment horizontal="left" vertical="center" wrapText="1"/>
      <protection hidden="1"/>
    </xf>
  </cellXfs>
  <cellStyles count="3">
    <cellStyle name="Hipervínculo" xfId="2" builtinId="8"/>
    <cellStyle name="Normal" xfId="0" builtinId="0"/>
    <cellStyle name="Porcentaje" xfId="1" builtinId="5"/>
  </cellStyles>
  <dxfs count="210">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b val="0"/>
        <i val="0"/>
        <color auto="1"/>
      </font>
      <fill>
        <patternFill>
          <bgColor rgb="FFFF5353"/>
        </patternFill>
      </fill>
    </dxf>
    <dxf>
      <font>
        <color auto="1"/>
      </font>
      <fill>
        <patternFill>
          <bgColor rgb="FFFF5353"/>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theme="1"/>
      </font>
      <fill>
        <patternFill>
          <bgColor rgb="FFFF0000"/>
        </patternFill>
      </fill>
    </dxf>
    <dxf>
      <font>
        <color auto="1"/>
      </font>
      <fill>
        <patternFill>
          <bgColor rgb="FFFF535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105"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187327</xdr:colOff>
      <xdr:row>8</xdr:row>
      <xdr:rowOff>30011</xdr:rowOff>
    </xdr:from>
    <xdr:to>
      <xdr:col>12</xdr:col>
      <xdr:colOff>243164</xdr:colOff>
      <xdr:row>30</xdr:row>
      <xdr:rowOff>129541</xdr:rowOff>
    </xdr:to>
    <xdr:pic>
      <xdr:nvPicPr>
        <xdr:cNvPr id="117" name="Imagen 116"/>
        <xdr:cNvPicPr>
          <a:picLocks noChangeAspect="1"/>
        </xdr:cNvPicPr>
      </xdr:nvPicPr>
      <xdr:blipFill>
        <a:blip xmlns:r="http://schemas.openxmlformats.org/officeDocument/2006/relationships" r:embed="rId1"/>
        <a:stretch>
          <a:fillRect/>
        </a:stretch>
      </xdr:blipFill>
      <xdr:spPr>
        <a:xfrm>
          <a:off x="479427" y="8970811"/>
          <a:ext cx="7904437" cy="429053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423722</xdr:colOff>
      <xdr:row>2</xdr:row>
      <xdr:rowOff>190019</xdr:rowOff>
    </xdr:from>
    <xdr:to>
      <xdr:col>5</xdr:col>
      <xdr:colOff>723901</xdr:colOff>
      <xdr:row>5</xdr:row>
      <xdr:rowOff>60613</xdr:rowOff>
    </xdr:to>
    <xdr:sp macro="" textlink="">
      <xdr:nvSpPr>
        <xdr:cNvPr id="118" name="Rectángulo redondeado 117"/>
        <xdr:cNvSpPr/>
      </xdr:nvSpPr>
      <xdr:spPr>
        <a:xfrm>
          <a:off x="1706422" y="7987819"/>
          <a:ext cx="1824179" cy="442094"/>
        </a:xfrm>
        <a:prstGeom prst="roundRect">
          <a:avLst/>
        </a:prstGeom>
        <a:solidFill>
          <a:schemeClr val="accent1">
            <a:lumMod val="40000"/>
            <a:lumOff val="6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SUPERVISOR/A</a:t>
          </a:r>
        </a:p>
      </xdr:txBody>
    </xdr:sp>
    <xdr:clientData/>
  </xdr:twoCellAnchor>
  <xdr:twoCellAnchor>
    <xdr:from>
      <xdr:col>12</xdr:col>
      <xdr:colOff>288477</xdr:colOff>
      <xdr:row>9</xdr:row>
      <xdr:rowOff>40312</xdr:rowOff>
    </xdr:from>
    <xdr:to>
      <xdr:col>12</xdr:col>
      <xdr:colOff>431352</xdr:colOff>
      <xdr:row>13</xdr:row>
      <xdr:rowOff>131329</xdr:rowOff>
    </xdr:to>
    <xdr:sp macro="" textlink="">
      <xdr:nvSpPr>
        <xdr:cNvPr id="119" name="Cerrar llave 118"/>
        <xdr:cNvSpPr/>
      </xdr:nvSpPr>
      <xdr:spPr>
        <a:xfrm>
          <a:off x="8262263" y="1564312"/>
          <a:ext cx="142875" cy="853017"/>
        </a:xfrm>
        <a:prstGeom prst="rightBrace">
          <a:avLst>
            <a:gd name="adj1" fmla="val 54166"/>
            <a:gd name="adj2" fmla="val 50613"/>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ES" sz="1100"/>
        </a:p>
      </xdr:txBody>
    </xdr:sp>
    <xdr:clientData/>
  </xdr:twoCellAnchor>
  <xdr:twoCellAnchor>
    <xdr:from>
      <xdr:col>12</xdr:col>
      <xdr:colOff>367393</xdr:colOff>
      <xdr:row>5</xdr:row>
      <xdr:rowOff>83292</xdr:rowOff>
    </xdr:from>
    <xdr:to>
      <xdr:col>13</xdr:col>
      <xdr:colOff>666750</xdr:colOff>
      <xdr:row>9</xdr:row>
      <xdr:rowOff>149679</xdr:rowOff>
    </xdr:to>
    <xdr:sp macro="" textlink="">
      <xdr:nvSpPr>
        <xdr:cNvPr id="120" name="Rectángulo redondeado 119"/>
        <xdr:cNvSpPr/>
      </xdr:nvSpPr>
      <xdr:spPr>
        <a:xfrm>
          <a:off x="8341179" y="926935"/>
          <a:ext cx="1061357" cy="746744"/>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Rellenar datos</a:t>
          </a:r>
        </a:p>
        <a:p>
          <a:pPr algn="l"/>
          <a:r>
            <a:rPr lang="es-ES" sz="1100">
              <a:solidFill>
                <a:sysClr val="windowText" lastClr="000000"/>
              </a:solidFill>
              <a:latin typeface="Arial" panose="020B0604020202020204" pitchFamily="34" charset="0"/>
              <a:cs typeface="Arial" panose="020B0604020202020204" pitchFamily="34" charset="0"/>
            </a:rPr>
            <a:t>Supervisor/a</a:t>
          </a:r>
        </a:p>
      </xdr:txBody>
    </xdr:sp>
    <xdr:clientData/>
  </xdr:twoCellAnchor>
  <xdr:twoCellAnchor>
    <xdr:from>
      <xdr:col>10</xdr:col>
      <xdr:colOff>347701</xdr:colOff>
      <xdr:row>32</xdr:row>
      <xdr:rowOff>139111</xdr:rowOff>
    </xdr:from>
    <xdr:to>
      <xdr:col>12</xdr:col>
      <xdr:colOff>89860</xdr:colOff>
      <xdr:row>35</xdr:row>
      <xdr:rowOff>95058</xdr:rowOff>
    </xdr:to>
    <xdr:sp macro="" textlink="">
      <xdr:nvSpPr>
        <xdr:cNvPr id="121" name="Rectángulo redondeado 120"/>
        <xdr:cNvSpPr/>
      </xdr:nvSpPr>
      <xdr:spPr>
        <a:xfrm>
          <a:off x="6964401" y="13474111"/>
          <a:ext cx="1266159" cy="527447"/>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valores numéricos</a:t>
          </a:r>
        </a:p>
      </xdr:txBody>
    </xdr:sp>
    <xdr:clientData/>
  </xdr:twoCellAnchor>
  <xdr:twoCellAnchor>
    <xdr:from>
      <xdr:col>10</xdr:col>
      <xdr:colOff>351560</xdr:colOff>
      <xdr:row>29</xdr:row>
      <xdr:rowOff>58881</xdr:rowOff>
    </xdr:from>
    <xdr:to>
      <xdr:col>10</xdr:col>
      <xdr:colOff>464129</xdr:colOff>
      <xdr:row>32</xdr:row>
      <xdr:rowOff>142009</xdr:rowOff>
    </xdr:to>
    <xdr:cxnSp macro="">
      <xdr:nvCxnSpPr>
        <xdr:cNvPr id="122" name="Conector recto de flecha 121"/>
        <xdr:cNvCxnSpPr/>
      </xdr:nvCxnSpPr>
      <xdr:spPr>
        <a:xfrm flipH="1" flipV="1">
          <a:off x="6968260" y="13000181"/>
          <a:ext cx="112569" cy="65462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95253</xdr:colOff>
      <xdr:row>16</xdr:row>
      <xdr:rowOff>75237</xdr:rowOff>
    </xdr:from>
    <xdr:to>
      <xdr:col>10</xdr:col>
      <xdr:colOff>527053</xdr:colOff>
      <xdr:row>28</xdr:row>
      <xdr:rowOff>123920</xdr:rowOff>
    </xdr:to>
    <xdr:sp macro="" textlink="">
      <xdr:nvSpPr>
        <xdr:cNvPr id="123" name="Rectángulo redondeado 122"/>
        <xdr:cNvSpPr/>
      </xdr:nvSpPr>
      <xdr:spPr>
        <a:xfrm>
          <a:off x="6711953" y="10540037"/>
          <a:ext cx="431800" cy="233468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259864</xdr:colOff>
      <xdr:row>27</xdr:row>
      <xdr:rowOff>87122</xdr:rowOff>
    </xdr:from>
    <xdr:to>
      <xdr:col>9</xdr:col>
      <xdr:colOff>728787</xdr:colOff>
      <xdr:row>28</xdr:row>
      <xdr:rowOff>139550</xdr:rowOff>
    </xdr:to>
    <xdr:sp macro="" textlink="">
      <xdr:nvSpPr>
        <xdr:cNvPr id="124" name="Rectángulo redondeado 123"/>
        <xdr:cNvSpPr/>
      </xdr:nvSpPr>
      <xdr:spPr>
        <a:xfrm>
          <a:off x="780564" y="12647422"/>
          <a:ext cx="5802923" cy="242928"/>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24014</xdr:colOff>
      <xdr:row>32</xdr:row>
      <xdr:rowOff>139111</xdr:rowOff>
    </xdr:from>
    <xdr:to>
      <xdr:col>9</xdr:col>
      <xdr:colOff>102515</xdr:colOff>
      <xdr:row>36</xdr:row>
      <xdr:rowOff>132345</xdr:rowOff>
    </xdr:to>
    <xdr:sp macro="" textlink="">
      <xdr:nvSpPr>
        <xdr:cNvPr id="125" name="Rectángulo redondeado 124"/>
        <xdr:cNvSpPr/>
      </xdr:nvSpPr>
      <xdr:spPr>
        <a:xfrm>
          <a:off x="314300" y="12929825"/>
          <a:ext cx="5639286" cy="718949"/>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supervisores</a:t>
          </a:r>
          <a:r>
            <a:rPr lang="es-ES" sz="1100">
              <a:solidFill>
                <a:sysClr val="windowText" lastClr="000000"/>
              </a:solidFill>
              <a:latin typeface="Arial" panose="020B0604020202020204" pitchFamily="34" charset="0"/>
              <a:cs typeface="Arial" panose="020B0604020202020204" pitchFamily="34" charset="0"/>
            </a:rPr>
            <a:t> y los </a:t>
          </a:r>
          <a:r>
            <a:rPr lang="es-ES" sz="1100" b="1">
              <a:solidFill>
                <a:sysClr val="windowText" lastClr="000000"/>
              </a:solidFill>
              <a:latin typeface="Arial" panose="020B0604020202020204" pitchFamily="34" charset="0"/>
              <a:cs typeface="Arial" panose="020B0604020202020204" pitchFamily="34" charset="0"/>
            </a:rPr>
            <a:t>supervisores intermedios </a:t>
          </a:r>
          <a:r>
            <a:rPr lang="es-ES" sz="1100">
              <a:solidFill>
                <a:sysClr val="windowText" lastClr="000000"/>
              </a:solidFill>
              <a:latin typeface="Arial" panose="020B0604020202020204" pitchFamily="34" charset="0"/>
              <a:cs typeface="Arial" panose="020B0604020202020204" pitchFamily="34" charset="0"/>
            </a:rPr>
            <a:t>tienen 5 objetivos ya fijados</a:t>
          </a:r>
        </a:p>
        <a:p>
          <a:pPr algn="l"/>
          <a:r>
            <a:rPr lang="es-ES" sz="1100">
              <a:solidFill>
                <a:sysClr val="windowText" lastClr="000000"/>
              </a:solidFill>
              <a:latin typeface="Arial" panose="020B0604020202020204" pitchFamily="34" charset="0"/>
              <a:cs typeface="Arial" panose="020B0604020202020204" pitchFamily="34" charset="0"/>
            </a:rPr>
            <a:t>(página 23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únicamente queda un objetivo por incorporar, que representa el 16 %.</a:t>
          </a:r>
        </a:p>
      </xdr:txBody>
    </xdr:sp>
    <xdr:clientData/>
  </xdr:twoCellAnchor>
  <xdr:twoCellAnchor>
    <xdr:from>
      <xdr:col>4</xdr:col>
      <xdr:colOff>205096</xdr:colOff>
      <xdr:row>28</xdr:row>
      <xdr:rowOff>85820</xdr:rowOff>
    </xdr:from>
    <xdr:to>
      <xdr:col>5</xdr:col>
      <xdr:colOff>330872</xdr:colOff>
      <xdr:row>32</xdr:row>
      <xdr:rowOff>139111</xdr:rowOff>
    </xdr:to>
    <xdr:cxnSp macro="">
      <xdr:nvCxnSpPr>
        <xdr:cNvPr id="126" name="Conector recto de flecha 125"/>
        <xdr:cNvCxnSpPr>
          <a:stCxn id="125" idx="0"/>
        </xdr:cNvCxnSpPr>
      </xdr:nvCxnSpPr>
      <xdr:spPr>
        <a:xfrm flipH="1" flipV="1">
          <a:off x="2246167" y="12150820"/>
          <a:ext cx="887776" cy="77900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472788</xdr:colOff>
      <xdr:row>9</xdr:row>
      <xdr:rowOff>108857</xdr:rowOff>
    </xdr:from>
    <xdr:to>
      <xdr:col>12</xdr:col>
      <xdr:colOff>653143</xdr:colOff>
      <xdr:row>10</xdr:row>
      <xdr:rowOff>122382</xdr:rowOff>
    </xdr:to>
    <xdr:cxnSp macro="">
      <xdr:nvCxnSpPr>
        <xdr:cNvPr id="127" name="Conector recto de flecha 126"/>
        <xdr:cNvCxnSpPr/>
      </xdr:nvCxnSpPr>
      <xdr:spPr>
        <a:xfrm flipH="1">
          <a:off x="8446574" y="1632857"/>
          <a:ext cx="180355" cy="20402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xdr:row>
      <xdr:rowOff>0</xdr:rowOff>
    </xdr:from>
    <xdr:to>
      <xdr:col>3</xdr:col>
      <xdr:colOff>117764</xdr:colOff>
      <xdr:row>5</xdr:row>
      <xdr:rowOff>60613</xdr:rowOff>
    </xdr:to>
    <xdr:grpSp>
      <xdr:nvGrpSpPr>
        <xdr:cNvPr id="128" name="Grupo 127"/>
        <xdr:cNvGrpSpPr/>
      </xdr:nvGrpSpPr>
      <xdr:grpSpPr>
        <a:xfrm>
          <a:off x="154781" y="71438"/>
          <a:ext cx="1094077" cy="822613"/>
          <a:chOff x="11473295" y="164523"/>
          <a:chExt cx="1108364" cy="822613"/>
        </a:xfrm>
      </xdr:grpSpPr>
      <xdr:sp macro="" textlink="">
        <xdr:nvSpPr>
          <xdr:cNvPr id="129" name="Rectángulo redondeado 128"/>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130" name="Elipse 129"/>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8</xdr:col>
      <xdr:colOff>367396</xdr:colOff>
      <xdr:row>1</xdr:row>
      <xdr:rowOff>59823</xdr:rowOff>
    </xdr:from>
    <xdr:to>
      <xdr:col>13</xdr:col>
      <xdr:colOff>675824</xdr:colOff>
      <xdr:row>5</xdr:row>
      <xdr:rowOff>45357</xdr:rowOff>
    </xdr:to>
    <xdr:sp macro="" textlink="">
      <xdr:nvSpPr>
        <xdr:cNvPr id="131" name="Rectángulo redondeado 130"/>
        <xdr:cNvSpPr/>
      </xdr:nvSpPr>
      <xdr:spPr>
        <a:xfrm>
          <a:off x="5293182" y="141466"/>
          <a:ext cx="4118428" cy="747534"/>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twoCellAnchor editAs="oneCell">
    <xdr:from>
      <xdr:col>14</xdr:col>
      <xdr:colOff>296718</xdr:colOff>
      <xdr:row>7</xdr:row>
      <xdr:rowOff>38100</xdr:rowOff>
    </xdr:from>
    <xdr:to>
      <xdr:col>25</xdr:col>
      <xdr:colOff>265050</xdr:colOff>
      <xdr:row>31</xdr:row>
      <xdr:rowOff>78823</xdr:rowOff>
    </xdr:to>
    <xdr:pic>
      <xdr:nvPicPr>
        <xdr:cNvPr id="132" name="Imagen 131"/>
        <xdr:cNvPicPr>
          <a:picLocks noChangeAspect="1"/>
        </xdr:cNvPicPr>
      </xdr:nvPicPr>
      <xdr:blipFill>
        <a:blip xmlns:r="http://schemas.openxmlformats.org/officeDocument/2006/relationships" r:embed="rId2"/>
        <a:stretch>
          <a:fillRect/>
        </a:stretch>
      </xdr:blipFill>
      <xdr:spPr>
        <a:xfrm>
          <a:off x="10347861" y="1135743"/>
          <a:ext cx="7919439" cy="439500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16</xdr:col>
      <xdr:colOff>652322</xdr:colOff>
      <xdr:row>2</xdr:row>
      <xdr:rowOff>190019</xdr:rowOff>
    </xdr:from>
    <xdr:to>
      <xdr:col>20</xdr:col>
      <xdr:colOff>323848</xdr:colOff>
      <xdr:row>5</xdr:row>
      <xdr:rowOff>60613</xdr:rowOff>
    </xdr:to>
    <xdr:sp macro="" textlink="">
      <xdr:nvSpPr>
        <xdr:cNvPr id="133" name="Rectángulo redondeado 132"/>
        <xdr:cNvSpPr/>
      </xdr:nvSpPr>
      <xdr:spPr>
        <a:xfrm>
          <a:off x="11841022" y="7987819"/>
          <a:ext cx="2719526" cy="442094"/>
        </a:xfrm>
        <a:prstGeom prst="roundRect">
          <a:avLst/>
        </a:prstGeom>
        <a:solidFill>
          <a:schemeClr val="accent1">
            <a:lumMod val="40000"/>
            <a:lumOff val="60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SUPERVISOR/A INTERMEDIO</a:t>
          </a:r>
        </a:p>
      </xdr:txBody>
    </xdr:sp>
    <xdr:clientData/>
  </xdr:twoCellAnchor>
  <xdr:twoCellAnchor>
    <xdr:from>
      <xdr:col>25</xdr:col>
      <xdr:colOff>308455</xdr:colOff>
      <xdr:row>12</xdr:row>
      <xdr:rowOff>84858</xdr:rowOff>
    </xdr:from>
    <xdr:to>
      <xdr:col>25</xdr:col>
      <xdr:colOff>1384300</xdr:colOff>
      <xdr:row>18</xdr:row>
      <xdr:rowOff>114300</xdr:rowOff>
    </xdr:to>
    <xdr:sp macro="" textlink="">
      <xdr:nvSpPr>
        <xdr:cNvPr id="134" name="Rectángulo redondeado 133"/>
        <xdr:cNvSpPr/>
      </xdr:nvSpPr>
      <xdr:spPr>
        <a:xfrm>
          <a:off x="18380555" y="9609858"/>
          <a:ext cx="1075845" cy="1172442"/>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Rellenar datos</a:t>
          </a:r>
        </a:p>
        <a:p>
          <a:pPr algn="l"/>
          <a:r>
            <a:rPr lang="es-ES" sz="1100">
              <a:solidFill>
                <a:sysClr val="windowText" lastClr="000000"/>
              </a:solidFill>
              <a:latin typeface="Arial" panose="020B0604020202020204" pitchFamily="34" charset="0"/>
              <a:cs typeface="Arial" panose="020B0604020202020204" pitchFamily="34" charset="0"/>
            </a:rPr>
            <a:t>Supervisor/a Intermedio</a:t>
          </a:r>
        </a:p>
      </xdr:txBody>
    </xdr:sp>
    <xdr:clientData/>
  </xdr:twoCellAnchor>
  <xdr:twoCellAnchor>
    <xdr:from>
      <xdr:col>23</xdr:col>
      <xdr:colOff>411201</xdr:colOff>
      <xdr:row>32</xdr:row>
      <xdr:rowOff>139111</xdr:rowOff>
    </xdr:from>
    <xdr:to>
      <xdr:col>25</xdr:col>
      <xdr:colOff>153360</xdr:colOff>
      <xdr:row>35</xdr:row>
      <xdr:rowOff>95058</xdr:rowOff>
    </xdr:to>
    <xdr:sp macro="" textlink="">
      <xdr:nvSpPr>
        <xdr:cNvPr id="135" name="Rectángulo redondeado 134"/>
        <xdr:cNvSpPr/>
      </xdr:nvSpPr>
      <xdr:spPr>
        <a:xfrm>
          <a:off x="16933901" y="13474111"/>
          <a:ext cx="1266159" cy="527447"/>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valores numéricos</a:t>
          </a:r>
        </a:p>
      </xdr:txBody>
    </xdr:sp>
    <xdr:clientData/>
  </xdr:twoCellAnchor>
  <xdr:twoCellAnchor>
    <xdr:from>
      <xdr:col>23</xdr:col>
      <xdr:colOff>199121</xdr:colOff>
      <xdr:row>29</xdr:row>
      <xdr:rowOff>48586</xdr:rowOff>
    </xdr:from>
    <xdr:to>
      <xdr:col>23</xdr:col>
      <xdr:colOff>527630</xdr:colOff>
      <xdr:row>32</xdr:row>
      <xdr:rowOff>142009</xdr:rowOff>
    </xdr:to>
    <xdr:cxnSp macro="">
      <xdr:nvCxnSpPr>
        <xdr:cNvPr id="136" name="Conector recto de flecha 135"/>
        <xdr:cNvCxnSpPr>
          <a:endCxn id="143" idx="2"/>
        </xdr:cNvCxnSpPr>
      </xdr:nvCxnSpPr>
      <xdr:spPr>
        <a:xfrm flipH="1" flipV="1">
          <a:off x="16799835" y="5137657"/>
          <a:ext cx="328509" cy="637709"/>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13525</xdr:colOff>
      <xdr:row>28</xdr:row>
      <xdr:rowOff>530</xdr:rowOff>
    </xdr:from>
    <xdr:to>
      <xdr:col>22</xdr:col>
      <xdr:colOff>688934</xdr:colOff>
      <xdr:row>29</xdr:row>
      <xdr:rowOff>52958</xdr:rowOff>
    </xdr:to>
    <xdr:sp macro="" textlink="">
      <xdr:nvSpPr>
        <xdr:cNvPr id="137" name="Rectángulo redondeado 136"/>
        <xdr:cNvSpPr/>
      </xdr:nvSpPr>
      <xdr:spPr>
        <a:xfrm>
          <a:off x="10518239" y="4908173"/>
          <a:ext cx="6009409" cy="233856"/>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414093</xdr:colOff>
      <xdr:row>32</xdr:row>
      <xdr:rowOff>139111</xdr:rowOff>
    </xdr:from>
    <xdr:to>
      <xdr:col>22</xdr:col>
      <xdr:colOff>265808</xdr:colOff>
      <xdr:row>36</xdr:row>
      <xdr:rowOff>132345</xdr:rowOff>
    </xdr:to>
    <xdr:sp macro="" textlink="">
      <xdr:nvSpPr>
        <xdr:cNvPr id="138" name="Rectángulo redondeado 137"/>
        <xdr:cNvSpPr/>
      </xdr:nvSpPr>
      <xdr:spPr>
        <a:xfrm>
          <a:off x="10465236" y="12929825"/>
          <a:ext cx="5639286" cy="718949"/>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supervisores</a:t>
          </a:r>
          <a:r>
            <a:rPr lang="es-ES" sz="1100">
              <a:solidFill>
                <a:sysClr val="windowText" lastClr="000000"/>
              </a:solidFill>
              <a:latin typeface="Arial" panose="020B0604020202020204" pitchFamily="34" charset="0"/>
              <a:cs typeface="Arial" panose="020B0604020202020204" pitchFamily="34" charset="0"/>
            </a:rPr>
            <a:t> y los </a:t>
          </a:r>
          <a:r>
            <a:rPr lang="es-ES" sz="1100" b="1">
              <a:solidFill>
                <a:sysClr val="windowText" lastClr="000000"/>
              </a:solidFill>
              <a:latin typeface="Arial" panose="020B0604020202020204" pitchFamily="34" charset="0"/>
              <a:cs typeface="Arial" panose="020B0604020202020204" pitchFamily="34" charset="0"/>
            </a:rPr>
            <a:t>supervisores intermedios </a:t>
          </a:r>
          <a:r>
            <a:rPr lang="es-ES" sz="1100">
              <a:solidFill>
                <a:sysClr val="windowText" lastClr="000000"/>
              </a:solidFill>
              <a:latin typeface="Arial" panose="020B0604020202020204" pitchFamily="34" charset="0"/>
              <a:cs typeface="Arial" panose="020B0604020202020204" pitchFamily="34" charset="0"/>
            </a:rPr>
            <a:t>tienen 5 objetivos ya fijados</a:t>
          </a:r>
        </a:p>
        <a:p>
          <a:pPr algn="l"/>
          <a:r>
            <a:rPr lang="es-ES" sz="1100">
              <a:solidFill>
                <a:sysClr val="windowText" lastClr="000000"/>
              </a:solidFill>
              <a:latin typeface="Arial" panose="020B0604020202020204" pitchFamily="34" charset="0"/>
              <a:cs typeface="Arial" panose="020B0604020202020204" pitchFamily="34" charset="0"/>
            </a:rPr>
            <a:t>(página 23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únicamente queda un objetivo por incorporar, que representa el 16 %.</a:t>
          </a:r>
        </a:p>
      </xdr:txBody>
    </xdr:sp>
    <xdr:clientData/>
  </xdr:twoCellAnchor>
  <xdr:twoCellAnchor>
    <xdr:from>
      <xdr:col>17</xdr:col>
      <xdr:colOff>705517</xdr:colOff>
      <xdr:row>29</xdr:row>
      <xdr:rowOff>41813</xdr:rowOff>
    </xdr:from>
    <xdr:to>
      <xdr:col>18</xdr:col>
      <xdr:colOff>523675</xdr:colOff>
      <xdr:row>33</xdr:row>
      <xdr:rowOff>30845</xdr:rowOff>
    </xdr:to>
    <xdr:cxnSp macro="">
      <xdr:nvCxnSpPr>
        <xdr:cNvPr id="139" name="Conector recto de flecha 138"/>
        <xdr:cNvCxnSpPr/>
      </xdr:nvCxnSpPr>
      <xdr:spPr>
        <a:xfrm flipH="1" flipV="1">
          <a:off x="12734231" y="5130884"/>
          <a:ext cx="580158" cy="714747"/>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xdr:row>
      <xdr:rowOff>0</xdr:rowOff>
    </xdr:from>
    <xdr:to>
      <xdr:col>16</xdr:col>
      <xdr:colOff>346364</xdr:colOff>
      <xdr:row>5</xdr:row>
      <xdr:rowOff>60613</xdr:rowOff>
    </xdr:to>
    <xdr:grpSp>
      <xdr:nvGrpSpPr>
        <xdr:cNvPr id="140" name="Grupo 139"/>
        <xdr:cNvGrpSpPr/>
      </xdr:nvGrpSpPr>
      <xdr:grpSpPr>
        <a:xfrm>
          <a:off x="9822656" y="71438"/>
          <a:ext cx="1108364" cy="822613"/>
          <a:chOff x="11473295" y="164523"/>
          <a:chExt cx="1108364" cy="822613"/>
        </a:xfrm>
      </xdr:grpSpPr>
      <xdr:sp macro="" textlink="">
        <xdr:nvSpPr>
          <xdr:cNvPr id="141" name="Rectángulo redondeado 140"/>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142" name="Elipse 141"/>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22</xdr:col>
      <xdr:colOff>745221</xdr:colOff>
      <xdr:row>17</xdr:row>
      <xdr:rowOff>2624</xdr:rowOff>
    </xdr:from>
    <xdr:to>
      <xdr:col>23</xdr:col>
      <xdr:colOff>415021</xdr:colOff>
      <xdr:row>29</xdr:row>
      <xdr:rowOff>48586</xdr:rowOff>
    </xdr:to>
    <xdr:sp macro="" textlink="">
      <xdr:nvSpPr>
        <xdr:cNvPr id="143" name="Rectángulo redondeado 142"/>
        <xdr:cNvSpPr/>
      </xdr:nvSpPr>
      <xdr:spPr>
        <a:xfrm>
          <a:off x="16583935" y="2914553"/>
          <a:ext cx="431800" cy="2223104"/>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1</xdr:col>
      <xdr:colOff>6034</xdr:colOff>
      <xdr:row>46</xdr:row>
      <xdr:rowOff>3377</xdr:rowOff>
    </xdr:from>
    <xdr:to>
      <xdr:col>12</xdr:col>
      <xdr:colOff>165780</xdr:colOff>
      <xdr:row>70</xdr:row>
      <xdr:rowOff>102359</xdr:rowOff>
    </xdr:to>
    <xdr:pic>
      <xdr:nvPicPr>
        <xdr:cNvPr id="146" name="Imagen 145"/>
        <xdr:cNvPicPr>
          <a:picLocks noChangeAspect="1"/>
        </xdr:cNvPicPr>
      </xdr:nvPicPr>
      <xdr:blipFill>
        <a:blip xmlns:r="http://schemas.openxmlformats.org/officeDocument/2006/relationships" r:embed="rId3"/>
        <a:stretch>
          <a:fillRect/>
        </a:stretch>
      </xdr:blipFill>
      <xdr:spPr>
        <a:xfrm>
          <a:off x="298134" y="15992677"/>
          <a:ext cx="8008346" cy="467098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3</xdr:col>
      <xdr:colOff>340594</xdr:colOff>
      <xdr:row>42</xdr:row>
      <xdr:rowOff>175775</xdr:rowOff>
    </xdr:from>
    <xdr:to>
      <xdr:col>6</xdr:col>
      <xdr:colOff>37877</xdr:colOff>
      <xdr:row>44</xdr:row>
      <xdr:rowOff>177510</xdr:rowOff>
    </xdr:to>
    <xdr:sp macro="" textlink="">
      <xdr:nvSpPr>
        <xdr:cNvPr id="147" name="Rectángulo redondeado 146"/>
        <xdr:cNvSpPr/>
      </xdr:nvSpPr>
      <xdr:spPr>
        <a:xfrm>
          <a:off x="1623294" y="15403075"/>
          <a:ext cx="198328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COLABORADOR/A</a:t>
          </a:r>
        </a:p>
      </xdr:txBody>
    </xdr:sp>
    <xdr:clientData/>
  </xdr:twoCellAnchor>
  <xdr:twoCellAnchor>
    <xdr:from>
      <xdr:col>12</xdr:col>
      <xdr:colOff>239298</xdr:colOff>
      <xdr:row>49</xdr:row>
      <xdr:rowOff>116700</xdr:rowOff>
    </xdr:from>
    <xdr:to>
      <xdr:col>12</xdr:col>
      <xdr:colOff>356352</xdr:colOff>
      <xdr:row>52</xdr:row>
      <xdr:rowOff>151544</xdr:rowOff>
    </xdr:to>
    <xdr:sp macro="" textlink="">
      <xdr:nvSpPr>
        <xdr:cNvPr id="148" name="Cerrar llave 147"/>
        <xdr:cNvSpPr/>
      </xdr:nvSpPr>
      <xdr:spPr>
        <a:xfrm>
          <a:off x="8379998" y="16677500"/>
          <a:ext cx="117054" cy="606344"/>
        </a:xfrm>
        <a:prstGeom prst="rightBrace">
          <a:avLst>
            <a:gd name="adj1" fmla="val 54166"/>
            <a:gd name="adj2" fmla="val 50613"/>
          </a:avLst>
        </a:prstGeom>
        <a:ln>
          <a:solidFill>
            <a:sysClr val="windowText" lastClr="000000"/>
          </a:solidFill>
        </a:ln>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es-ES" sz="1100"/>
        </a:p>
      </xdr:txBody>
    </xdr:sp>
    <xdr:clientData/>
  </xdr:twoCellAnchor>
  <xdr:twoCellAnchor>
    <xdr:from>
      <xdr:col>12</xdr:col>
      <xdr:colOff>332759</xdr:colOff>
      <xdr:row>51</xdr:row>
      <xdr:rowOff>125556</xdr:rowOff>
    </xdr:from>
    <xdr:to>
      <xdr:col>13</xdr:col>
      <xdr:colOff>713759</xdr:colOff>
      <xdr:row>58</xdr:row>
      <xdr:rowOff>38965</xdr:rowOff>
    </xdr:to>
    <xdr:sp macro="" textlink="">
      <xdr:nvSpPr>
        <xdr:cNvPr id="149" name="Rectángulo redondeado 148"/>
        <xdr:cNvSpPr/>
      </xdr:nvSpPr>
      <xdr:spPr>
        <a:xfrm>
          <a:off x="8306545" y="9582520"/>
          <a:ext cx="1143000" cy="1246909"/>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lang="es-ES" sz="1100">
              <a:solidFill>
                <a:sysClr val="windowText" lastClr="000000"/>
              </a:solidFill>
              <a:latin typeface="Arial" panose="020B0604020202020204" pitchFamily="34" charset="0"/>
              <a:cs typeface="Arial" panose="020B0604020202020204" pitchFamily="34" charset="0"/>
            </a:rPr>
            <a:t>Rellenar solo Supervisor/a Intermedio</a:t>
          </a:r>
          <a:r>
            <a:rPr lang="es-ES" sz="1100" baseline="0">
              <a:solidFill>
                <a:sysClr val="windowText" lastClr="000000"/>
              </a:solidFill>
              <a:latin typeface="Arial" panose="020B0604020202020204" pitchFamily="34" charset="0"/>
              <a:cs typeface="Arial" panose="020B0604020202020204" pitchFamily="34" charset="0"/>
            </a:rPr>
            <a:t> (</a:t>
          </a:r>
          <a:r>
            <a:rPr lang="es-ES" sz="1100">
              <a:solidFill>
                <a:sysClr val="windowText" lastClr="000000"/>
              </a:solidFill>
              <a:latin typeface="Arial" panose="020B0604020202020204" pitchFamily="34" charset="0"/>
              <a:cs typeface="Arial" panose="020B0604020202020204" pitchFamily="34" charset="0"/>
            </a:rPr>
            <a:t>si hubiera)   y datos del Empleado.</a:t>
          </a:r>
        </a:p>
      </xdr:txBody>
    </xdr:sp>
    <xdr:clientData/>
  </xdr:twoCellAnchor>
  <xdr:twoCellAnchor>
    <xdr:from>
      <xdr:col>12</xdr:col>
      <xdr:colOff>476251</xdr:colOff>
      <xdr:row>51</xdr:row>
      <xdr:rowOff>30306</xdr:rowOff>
    </xdr:from>
    <xdr:to>
      <xdr:col>12</xdr:col>
      <xdr:colOff>701388</xdr:colOff>
      <xdr:row>51</xdr:row>
      <xdr:rowOff>151534</xdr:rowOff>
    </xdr:to>
    <xdr:cxnSp macro="">
      <xdr:nvCxnSpPr>
        <xdr:cNvPr id="150" name="Conector recto de flecha 149"/>
        <xdr:cNvCxnSpPr/>
      </xdr:nvCxnSpPr>
      <xdr:spPr>
        <a:xfrm flipH="1" flipV="1">
          <a:off x="8616951" y="16972106"/>
          <a:ext cx="225137" cy="12122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295879</xdr:colOff>
      <xdr:row>71</xdr:row>
      <xdr:rowOff>119558</xdr:rowOff>
    </xdr:from>
    <xdr:to>
      <xdr:col>12</xdr:col>
      <xdr:colOff>190500</xdr:colOff>
      <xdr:row>74</xdr:row>
      <xdr:rowOff>136071</xdr:rowOff>
    </xdr:to>
    <xdr:sp macro="" textlink="">
      <xdr:nvSpPr>
        <xdr:cNvPr id="151" name="Rectángulo redondeado 150"/>
        <xdr:cNvSpPr/>
      </xdr:nvSpPr>
      <xdr:spPr>
        <a:xfrm>
          <a:off x="6908950" y="19940629"/>
          <a:ext cx="1418621" cy="560799"/>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ctr"/>
          <a:r>
            <a:rPr lang="es-ES" sz="1100">
              <a:solidFill>
                <a:sysClr val="windowText" lastClr="000000"/>
              </a:solidFill>
              <a:latin typeface="Arial" panose="020B0604020202020204" pitchFamily="34" charset="0"/>
              <a:cs typeface="Arial" panose="020B0604020202020204" pitchFamily="34" charset="0"/>
            </a:rPr>
            <a:t>Rellenar con valores numéricos</a:t>
          </a:r>
        </a:p>
      </xdr:txBody>
    </xdr:sp>
    <xdr:clientData/>
  </xdr:twoCellAnchor>
  <xdr:twoCellAnchor>
    <xdr:from>
      <xdr:col>10</xdr:col>
      <xdr:colOff>246449</xdr:colOff>
      <xdr:row>67</xdr:row>
      <xdr:rowOff>81693</xdr:rowOff>
    </xdr:from>
    <xdr:to>
      <xdr:col>10</xdr:col>
      <xdr:colOff>261433</xdr:colOff>
      <xdr:row>72</xdr:row>
      <xdr:rowOff>5818</xdr:rowOff>
    </xdr:to>
    <xdr:cxnSp macro="">
      <xdr:nvCxnSpPr>
        <xdr:cNvPr id="152" name="Conector recto de flecha 151"/>
        <xdr:cNvCxnSpPr/>
      </xdr:nvCxnSpPr>
      <xdr:spPr>
        <a:xfrm flipV="1">
          <a:off x="6863149" y="20071493"/>
          <a:ext cx="14984" cy="87662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2060</xdr:colOff>
      <xdr:row>55</xdr:row>
      <xdr:rowOff>118490</xdr:rowOff>
    </xdr:from>
    <xdr:to>
      <xdr:col>10</xdr:col>
      <xdr:colOff>433860</xdr:colOff>
      <xdr:row>67</xdr:row>
      <xdr:rowOff>20472</xdr:rowOff>
    </xdr:to>
    <xdr:sp macro="" textlink="">
      <xdr:nvSpPr>
        <xdr:cNvPr id="153" name="Rectángulo redondeado 152"/>
        <xdr:cNvSpPr/>
      </xdr:nvSpPr>
      <xdr:spPr>
        <a:xfrm>
          <a:off x="6618760" y="17822290"/>
          <a:ext cx="431800" cy="2187982"/>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17319</xdr:colOff>
      <xdr:row>71</xdr:row>
      <xdr:rowOff>142874</xdr:rowOff>
    </xdr:from>
    <xdr:to>
      <xdr:col>9</xdr:col>
      <xdr:colOff>432955</xdr:colOff>
      <xdr:row>75</xdr:row>
      <xdr:rowOff>90919</xdr:rowOff>
    </xdr:to>
    <xdr:sp macro="" textlink="">
      <xdr:nvSpPr>
        <xdr:cNvPr id="154" name="Rectángulo redondeado 153"/>
        <xdr:cNvSpPr/>
      </xdr:nvSpPr>
      <xdr:spPr>
        <a:xfrm>
          <a:off x="538019" y="20894674"/>
          <a:ext cx="5749636" cy="710045"/>
        </a:xfrm>
        <a:prstGeom prst="roundRect">
          <a:avLst/>
        </a:prstGeom>
        <a:solidFill>
          <a:schemeClr val="bg1">
            <a:lumMod val="9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100">
              <a:solidFill>
                <a:sysClr val="windowText" lastClr="000000"/>
              </a:solidFill>
              <a:latin typeface="Arial" panose="020B0604020202020204" pitchFamily="34" charset="0"/>
              <a:cs typeface="Arial" panose="020B0604020202020204" pitchFamily="34" charset="0"/>
            </a:rPr>
            <a:t>Los </a:t>
          </a:r>
          <a:r>
            <a:rPr lang="es-ES" sz="1100" b="1">
              <a:solidFill>
                <a:sysClr val="windowText" lastClr="000000"/>
              </a:solidFill>
              <a:latin typeface="Arial" panose="020B0604020202020204" pitchFamily="34" charset="0"/>
              <a:cs typeface="Arial" panose="020B0604020202020204" pitchFamily="34" charset="0"/>
            </a:rPr>
            <a:t>colaboradores</a:t>
          </a:r>
          <a:r>
            <a:rPr lang="es-ES" sz="1100">
              <a:solidFill>
                <a:sysClr val="windowText" lastClr="000000"/>
              </a:solidFill>
              <a:latin typeface="Arial" panose="020B0604020202020204" pitchFamily="34" charset="0"/>
              <a:cs typeface="Arial" panose="020B0604020202020204" pitchFamily="34" charset="0"/>
            </a:rPr>
            <a:t> tienen 3 objetivos ya fijados (página 22 del "Reglamento de la ED")</a:t>
          </a:r>
        </a:p>
        <a:p>
          <a:pPr algn="l"/>
          <a:r>
            <a:rPr lang="es-ES" sz="1100">
              <a:solidFill>
                <a:sysClr val="windowText" lastClr="000000"/>
              </a:solidFill>
              <a:latin typeface="Arial" panose="020B0604020202020204" pitchFamily="34" charset="0"/>
              <a:cs typeface="Arial" panose="020B0604020202020204" pitchFamily="34" charset="0"/>
            </a:rPr>
            <a:t>Por lo tanto, pueden añadir hasta 4 objetivos más, cuyo valor mínimo es </a:t>
          </a:r>
          <a:r>
            <a:rPr lang="es-ES" sz="1100" b="0">
              <a:solidFill>
                <a:sysClr val="windowText" lastClr="000000"/>
              </a:solidFill>
              <a:latin typeface="Arial" panose="020B0604020202020204" pitchFamily="34" charset="0"/>
              <a:cs typeface="Arial" panose="020B0604020202020204" pitchFamily="34" charset="0"/>
            </a:rPr>
            <a:t>10%, </a:t>
          </a:r>
          <a:r>
            <a:rPr lang="es-ES" sz="1100" b="1">
              <a:solidFill>
                <a:sysClr val="windowText" lastClr="000000"/>
              </a:solidFill>
              <a:latin typeface="Arial" panose="020B0604020202020204" pitchFamily="34" charset="0"/>
              <a:cs typeface="Arial" panose="020B0604020202020204" pitchFamily="34" charset="0"/>
            </a:rPr>
            <a:t/>
          </a:r>
          <a:br>
            <a:rPr lang="es-ES" sz="1100" b="1">
              <a:solidFill>
                <a:sysClr val="windowText" lastClr="000000"/>
              </a:solidFill>
              <a:latin typeface="Arial" panose="020B0604020202020204" pitchFamily="34" charset="0"/>
              <a:cs typeface="Arial" panose="020B0604020202020204" pitchFamily="34" charset="0"/>
            </a:rPr>
          </a:br>
          <a:r>
            <a:rPr lang="es-ES" sz="1100">
              <a:solidFill>
                <a:sysClr val="windowText" lastClr="000000"/>
              </a:solidFill>
              <a:latin typeface="Arial" panose="020B0604020202020204" pitchFamily="34" charset="0"/>
              <a:cs typeface="Arial" panose="020B0604020202020204" pitchFamily="34" charset="0"/>
            </a:rPr>
            <a:t>y la</a:t>
          </a:r>
          <a:r>
            <a:rPr lang="es-ES" sz="1100" baseline="0">
              <a:solidFill>
                <a:sysClr val="windowText" lastClr="000000"/>
              </a:solidFill>
              <a:latin typeface="Arial" panose="020B0604020202020204" pitchFamily="34" charset="0"/>
              <a:cs typeface="Arial" panose="020B0604020202020204" pitchFamily="34" charset="0"/>
            </a:rPr>
            <a:t> </a:t>
          </a:r>
          <a:r>
            <a:rPr lang="es-ES" sz="1100">
              <a:solidFill>
                <a:sysClr val="windowText" lastClr="000000"/>
              </a:solidFill>
              <a:latin typeface="Arial" panose="020B0604020202020204" pitchFamily="34" charset="0"/>
              <a:cs typeface="Arial" panose="020B0604020202020204" pitchFamily="34" charset="0"/>
            </a:rPr>
            <a:t>suma de los 4 sería</a:t>
          </a:r>
          <a:r>
            <a:rPr lang="es-ES" sz="1100" baseline="0">
              <a:solidFill>
                <a:sysClr val="windowText" lastClr="000000"/>
              </a:solidFill>
              <a:latin typeface="Arial" panose="020B0604020202020204" pitchFamily="34" charset="0"/>
              <a:cs typeface="Arial" panose="020B0604020202020204" pitchFamily="34" charset="0"/>
            </a:rPr>
            <a:t> igual a </a:t>
          </a:r>
          <a:r>
            <a:rPr lang="es-ES" sz="1100">
              <a:solidFill>
                <a:sysClr val="windowText" lastClr="000000"/>
              </a:solidFill>
              <a:latin typeface="Arial" panose="020B0604020202020204" pitchFamily="34" charset="0"/>
              <a:cs typeface="Arial" panose="020B0604020202020204" pitchFamily="34" charset="0"/>
            </a:rPr>
            <a:t>40%.</a:t>
          </a:r>
        </a:p>
      </xdr:txBody>
    </xdr:sp>
    <xdr:clientData/>
  </xdr:twoCellAnchor>
  <xdr:twoCellAnchor>
    <xdr:from>
      <xdr:col>2</xdr:col>
      <xdr:colOff>580160</xdr:colOff>
      <xdr:row>68</xdr:row>
      <xdr:rowOff>86415</xdr:rowOff>
    </xdr:from>
    <xdr:to>
      <xdr:col>4</xdr:col>
      <xdr:colOff>143872</xdr:colOff>
      <xdr:row>71</xdr:row>
      <xdr:rowOff>151533</xdr:rowOff>
    </xdr:to>
    <xdr:cxnSp macro="">
      <xdr:nvCxnSpPr>
        <xdr:cNvPr id="155" name="Conector recto de flecha 154"/>
        <xdr:cNvCxnSpPr/>
      </xdr:nvCxnSpPr>
      <xdr:spPr>
        <a:xfrm flipV="1">
          <a:off x="1100860" y="20266715"/>
          <a:ext cx="1087712" cy="63661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212098</xdr:colOff>
      <xdr:row>64</xdr:row>
      <xdr:rowOff>48956</xdr:rowOff>
    </xdr:from>
    <xdr:to>
      <xdr:col>9</xdr:col>
      <xdr:colOff>693391</xdr:colOff>
      <xdr:row>68</xdr:row>
      <xdr:rowOff>100256</xdr:rowOff>
    </xdr:to>
    <xdr:sp macro="" textlink="">
      <xdr:nvSpPr>
        <xdr:cNvPr id="156" name="Rectángulo redondeado 155"/>
        <xdr:cNvSpPr/>
      </xdr:nvSpPr>
      <xdr:spPr>
        <a:xfrm>
          <a:off x="504198" y="19467256"/>
          <a:ext cx="6043893" cy="813300"/>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0</xdr:colOff>
      <xdr:row>41</xdr:row>
      <xdr:rowOff>0</xdr:rowOff>
    </xdr:from>
    <xdr:to>
      <xdr:col>3</xdr:col>
      <xdr:colOff>117764</xdr:colOff>
      <xdr:row>45</xdr:row>
      <xdr:rowOff>61479</xdr:rowOff>
    </xdr:to>
    <xdr:grpSp>
      <xdr:nvGrpSpPr>
        <xdr:cNvPr id="157" name="Grupo 156"/>
        <xdr:cNvGrpSpPr/>
      </xdr:nvGrpSpPr>
      <xdr:grpSpPr>
        <a:xfrm>
          <a:off x="154781" y="7524750"/>
          <a:ext cx="1094077" cy="823479"/>
          <a:chOff x="11473295" y="164523"/>
          <a:chExt cx="1108364" cy="822613"/>
        </a:xfrm>
      </xdr:grpSpPr>
      <xdr:sp macro="" textlink="">
        <xdr:nvSpPr>
          <xdr:cNvPr id="158" name="Rectángulo redondeado 157"/>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159" name="Elipse 158"/>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editAs="oneCell">
    <xdr:from>
      <xdr:col>15</xdr:col>
      <xdr:colOff>373495</xdr:colOff>
      <xdr:row>45</xdr:row>
      <xdr:rowOff>184247</xdr:rowOff>
    </xdr:from>
    <xdr:to>
      <xdr:col>23</xdr:col>
      <xdr:colOff>29876</xdr:colOff>
      <xdr:row>75</xdr:row>
      <xdr:rowOff>30299</xdr:rowOff>
    </xdr:to>
    <xdr:pic>
      <xdr:nvPicPr>
        <xdr:cNvPr id="162" name="Imagen 161"/>
        <xdr:cNvPicPr>
          <a:picLocks noChangeAspect="1"/>
        </xdr:cNvPicPr>
      </xdr:nvPicPr>
      <xdr:blipFill rotWithShape="1">
        <a:blip xmlns:r="http://schemas.openxmlformats.org/officeDocument/2006/relationships" r:embed="rId4"/>
        <a:srcRect b="30134"/>
        <a:stretch/>
      </xdr:blipFill>
      <xdr:spPr>
        <a:xfrm>
          <a:off x="10825595" y="16046547"/>
          <a:ext cx="5752381" cy="556105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23</xdr:col>
      <xdr:colOff>394177</xdr:colOff>
      <xdr:row>50</xdr:row>
      <xdr:rowOff>36082</xdr:rowOff>
    </xdr:from>
    <xdr:to>
      <xdr:col>25</xdr:col>
      <xdr:colOff>629286</xdr:colOff>
      <xdr:row>53</xdr:row>
      <xdr:rowOff>28197</xdr:rowOff>
    </xdr:to>
    <xdr:sp macro="" textlink="">
      <xdr:nvSpPr>
        <xdr:cNvPr id="163" name="Rectángulo redondeado 162"/>
        <xdr:cNvSpPr/>
      </xdr:nvSpPr>
      <xdr:spPr>
        <a:xfrm>
          <a:off x="16942277" y="16850882"/>
          <a:ext cx="1759109"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a:t>
          </a:r>
          <a:r>
            <a:rPr lang="es-ES" sz="1100" b="0" baseline="0">
              <a:solidFill>
                <a:sysClr val="windowText" lastClr="000000"/>
              </a:solidFill>
              <a:latin typeface="Arial" panose="020B0604020202020204" pitchFamily="34" charset="0"/>
              <a:cs typeface="Arial" panose="020B0604020202020204" pitchFamily="34" charset="0"/>
            </a:rPr>
            <a:t> </a:t>
          </a:r>
          <a:r>
            <a:rPr lang="es-ES" sz="1100" b="1">
              <a:solidFill>
                <a:sysClr val="windowText" lastClr="000000"/>
              </a:solidFill>
              <a:latin typeface="Arial" panose="020B0604020202020204" pitchFamily="34" charset="0"/>
              <a:cs typeface="Arial" panose="020B0604020202020204" pitchFamily="34" charset="0"/>
            </a:rPr>
            <a:t>NO</a:t>
          </a:r>
          <a:r>
            <a:rPr lang="es-ES" sz="1100" b="1" baseline="0">
              <a:solidFill>
                <a:sysClr val="windowText" lastClr="000000"/>
              </a:solidFill>
              <a:latin typeface="Arial" panose="020B0604020202020204" pitchFamily="34" charset="0"/>
              <a:cs typeface="Arial" panose="020B0604020202020204" pitchFamily="34" charset="0"/>
            </a:rPr>
            <a:t> existe Supervisor Intermedio</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394177</xdr:colOff>
      <xdr:row>54</xdr:row>
      <xdr:rowOff>50901</xdr:rowOff>
    </xdr:from>
    <xdr:to>
      <xdr:col>25</xdr:col>
      <xdr:colOff>307551</xdr:colOff>
      <xdr:row>57</xdr:row>
      <xdr:rowOff>43016</xdr:rowOff>
    </xdr:to>
    <xdr:sp macro="" textlink="">
      <xdr:nvSpPr>
        <xdr:cNvPr id="164" name="Rectángulo redondeado 163"/>
        <xdr:cNvSpPr/>
      </xdr:nvSpPr>
      <xdr:spPr>
        <a:xfrm>
          <a:off x="16942277" y="17627701"/>
          <a:ext cx="1437374"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Datos</a:t>
          </a:r>
          <a:r>
            <a:rPr lang="es-ES" sz="1100" b="1" baseline="0">
              <a:solidFill>
                <a:sysClr val="windowText" lastClr="000000"/>
              </a:solidFill>
              <a:latin typeface="Arial" panose="020B0604020202020204" pitchFamily="34" charset="0"/>
              <a:cs typeface="Arial" panose="020B0604020202020204" pitchFamily="34" charset="0"/>
            </a:rPr>
            <a:t> NO rellenados</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394177</xdr:colOff>
      <xdr:row>58</xdr:row>
      <xdr:rowOff>70794</xdr:rowOff>
    </xdr:from>
    <xdr:to>
      <xdr:col>25</xdr:col>
      <xdr:colOff>1452345</xdr:colOff>
      <xdr:row>61</xdr:row>
      <xdr:rowOff>62909</xdr:rowOff>
    </xdr:to>
    <xdr:sp macro="" textlink="">
      <xdr:nvSpPr>
        <xdr:cNvPr id="165" name="Rectángulo redondeado 164"/>
        <xdr:cNvSpPr/>
      </xdr:nvSpPr>
      <xdr:spPr>
        <a:xfrm>
          <a:off x="16942277" y="18409594"/>
          <a:ext cx="2582168" cy="563615"/>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Tiene Nombre, pero falta</a:t>
          </a:r>
          <a:r>
            <a:rPr lang="es-ES" sz="1100" b="1" baseline="0">
              <a:solidFill>
                <a:sysClr val="windowText" lastClr="000000"/>
              </a:solidFill>
              <a:latin typeface="Arial" panose="020B0604020202020204" pitchFamily="34" charset="0"/>
              <a:cs typeface="Arial" panose="020B0604020202020204" pitchFamily="34" charset="0"/>
            </a:rPr>
            <a:t> DNI, por ello no tiene puntuación</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693881</xdr:colOff>
      <xdr:row>56</xdr:row>
      <xdr:rowOff>99578</xdr:rowOff>
    </xdr:from>
    <xdr:to>
      <xdr:col>23</xdr:col>
      <xdr:colOff>394177</xdr:colOff>
      <xdr:row>59</xdr:row>
      <xdr:rowOff>162102</xdr:rowOff>
    </xdr:to>
    <xdr:cxnSp macro="">
      <xdr:nvCxnSpPr>
        <xdr:cNvPr id="166" name="Conector recto de flecha 165"/>
        <xdr:cNvCxnSpPr>
          <a:stCxn id="165" idx="1"/>
        </xdr:cNvCxnSpPr>
      </xdr:nvCxnSpPr>
      <xdr:spPr>
        <a:xfrm flipH="1" flipV="1">
          <a:off x="16479981" y="18057378"/>
          <a:ext cx="462296" cy="634024"/>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394177</xdr:colOff>
      <xdr:row>62</xdr:row>
      <xdr:rowOff>146967</xdr:rowOff>
    </xdr:from>
    <xdr:to>
      <xdr:col>25</xdr:col>
      <xdr:colOff>1438563</xdr:colOff>
      <xdr:row>66</xdr:row>
      <xdr:rowOff>151533</xdr:rowOff>
    </xdr:to>
    <xdr:sp macro="" textlink="">
      <xdr:nvSpPr>
        <xdr:cNvPr id="167" name="Rectángulo redondeado 166"/>
        <xdr:cNvSpPr/>
      </xdr:nvSpPr>
      <xdr:spPr>
        <a:xfrm>
          <a:off x="16942277" y="19247767"/>
          <a:ext cx="2568386" cy="766566"/>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100" b="0">
              <a:solidFill>
                <a:sysClr val="windowText" lastClr="000000"/>
              </a:solidFill>
              <a:latin typeface="Arial" panose="020B0604020202020204" pitchFamily="34" charset="0"/>
              <a:cs typeface="Arial" panose="020B0604020202020204" pitchFamily="34" charset="0"/>
            </a:rPr>
            <a:t>Ejemplo: </a:t>
          </a:r>
          <a:r>
            <a:rPr lang="es-ES" sz="1100" b="1">
              <a:solidFill>
                <a:sysClr val="windowText" lastClr="000000"/>
              </a:solidFill>
              <a:latin typeface="Arial" panose="020B0604020202020204" pitchFamily="34" charset="0"/>
              <a:cs typeface="Arial" panose="020B0604020202020204" pitchFamily="34" charset="0"/>
            </a:rPr>
            <a:t>Tiene </a:t>
          </a:r>
          <a:r>
            <a:rPr lang="es-ES" sz="1100" b="1" baseline="0">
              <a:solidFill>
                <a:sysClr val="windowText" lastClr="000000"/>
              </a:solidFill>
              <a:latin typeface="Arial" panose="020B0604020202020204" pitchFamily="34" charset="0"/>
              <a:cs typeface="Arial" panose="020B0604020202020204" pitchFamily="34" charset="0"/>
            </a:rPr>
            <a:t>DNI, pero le falta Nombre. En este caso, sí se muestra su puntuación.</a:t>
          </a:r>
          <a:endParaRPr lang="es-ES"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16</xdr:col>
      <xdr:colOff>432111</xdr:colOff>
      <xdr:row>58</xdr:row>
      <xdr:rowOff>4324</xdr:rowOff>
    </xdr:from>
    <xdr:to>
      <xdr:col>23</xdr:col>
      <xdr:colOff>384079</xdr:colOff>
      <xdr:row>63</xdr:row>
      <xdr:rowOff>141907</xdr:rowOff>
    </xdr:to>
    <xdr:cxnSp macro="">
      <xdr:nvCxnSpPr>
        <xdr:cNvPr id="168" name="Conector recto de flecha 167"/>
        <xdr:cNvCxnSpPr/>
      </xdr:nvCxnSpPr>
      <xdr:spPr>
        <a:xfrm flipH="1" flipV="1">
          <a:off x="11646211" y="18343124"/>
          <a:ext cx="5285968" cy="1090083"/>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416647</xdr:colOff>
      <xdr:row>50</xdr:row>
      <xdr:rowOff>188311</xdr:rowOff>
    </xdr:from>
    <xdr:to>
      <xdr:col>22</xdr:col>
      <xdr:colOff>648663</xdr:colOff>
      <xdr:row>51</xdr:row>
      <xdr:rowOff>103644</xdr:rowOff>
    </xdr:to>
    <xdr:sp macro="" textlink="">
      <xdr:nvSpPr>
        <xdr:cNvPr id="169" name="Rectángulo redondeado 168"/>
        <xdr:cNvSpPr/>
      </xdr:nvSpPr>
      <xdr:spPr>
        <a:xfrm>
          <a:off x="10868747" y="17003111"/>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22</xdr:col>
      <xdr:colOff>532248</xdr:colOff>
      <xdr:row>51</xdr:row>
      <xdr:rowOff>67835</xdr:rowOff>
    </xdr:from>
    <xdr:to>
      <xdr:col>23</xdr:col>
      <xdr:colOff>394177</xdr:colOff>
      <xdr:row>51</xdr:row>
      <xdr:rowOff>127390</xdr:rowOff>
    </xdr:to>
    <xdr:cxnSp macro="">
      <xdr:nvCxnSpPr>
        <xdr:cNvPr id="170" name="Conector recto de flecha 169"/>
        <xdr:cNvCxnSpPr>
          <a:stCxn id="163" idx="1"/>
        </xdr:cNvCxnSpPr>
      </xdr:nvCxnSpPr>
      <xdr:spPr>
        <a:xfrm flipH="1" flipV="1">
          <a:off x="16318348" y="17073135"/>
          <a:ext cx="623929" cy="59555"/>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669830</xdr:colOff>
      <xdr:row>55</xdr:row>
      <xdr:rowOff>141907</xdr:rowOff>
    </xdr:from>
    <xdr:to>
      <xdr:col>23</xdr:col>
      <xdr:colOff>394177</xdr:colOff>
      <xdr:row>55</xdr:row>
      <xdr:rowOff>142209</xdr:rowOff>
    </xdr:to>
    <xdr:cxnSp macro="">
      <xdr:nvCxnSpPr>
        <xdr:cNvPr id="171" name="Conector recto de flecha 170"/>
        <xdr:cNvCxnSpPr>
          <a:stCxn id="164" idx="1"/>
        </xdr:cNvCxnSpPr>
      </xdr:nvCxnSpPr>
      <xdr:spPr>
        <a:xfrm flipH="1" flipV="1">
          <a:off x="16455930" y="17909207"/>
          <a:ext cx="486347" cy="302"/>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410297</xdr:colOff>
      <xdr:row>55</xdr:row>
      <xdr:rowOff>93224</xdr:rowOff>
    </xdr:from>
    <xdr:to>
      <xdr:col>22</xdr:col>
      <xdr:colOff>642313</xdr:colOff>
      <xdr:row>56</xdr:row>
      <xdr:rowOff>8557</xdr:rowOff>
    </xdr:to>
    <xdr:sp macro="" textlink="">
      <xdr:nvSpPr>
        <xdr:cNvPr id="172" name="Rectángulo redondeado 171"/>
        <xdr:cNvSpPr/>
      </xdr:nvSpPr>
      <xdr:spPr>
        <a:xfrm>
          <a:off x="10862397" y="17860524"/>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xdr:col>
      <xdr:colOff>406226</xdr:colOff>
      <xdr:row>56</xdr:row>
      <xdr:rowOff>57405</xdr:rowOff>
    </xdr:from>
    <xdr:to>
      <xdr:col>22</xdr:col>
      <xdr:colOff>638242</xdr:colOff>
      <xdr:row>56</xdr:row>
      <xdr:rowOff>163238</xdr:rowOff>
    </xdr:to>
    <xdr:sp macro="" textlink="">
      <xdr:nvSpPr>
        <xdr:cNvPr id="173" name="Rectángulo redondeado 172"/>
        <xdr:cNvSpPr/>
      </xdr:nvSpPr>
      <xdr:spPr>
        <a:xfrm>
          <a:off x="10858326" y="18015205"/>
          <a:ext cx="5566016" cy="105833"/>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15</xdr:col>
      <xdr:colOff>0</xdr:colOff>
      <xdr:row>41</xdr:row>
      <xdr:rowOff>0</xdr:rowOff>
    </xdr:from>
    <xdr:to>
      <xdr:col>16</xdr:col>
      <xdr:colOff>382155</xdr:colOff>
      <xdr:row>45</xdr:row>
      <xdr:rowOff>60613</xdr:rowOff>
    </xdr:to>
    <xdr:grpSp>
      <xdr:nvGrpSpPr>
        <xdr:cNvPr id="175" name="Grupo 174"/>
        <xdr:cNvGrpSpPr/>
      </xdr:nvGrpSpPr>
      <xdr:grpSpPr>
        <a:xfrm>
          <a:off x="9822656" y="7524750"/>
          <a:ext cx="1144155" cy="822613"/>
          <a:chOff x="11473295" y="164523"/>
          <a:chExt cx="1108364" cy="822613"/>
        </a:xfrm>
      </xdr:grpSpPr>
      <xdr:sp macro="" textlink="">
        <xdr:nvSpPr>
          <xdr:cNvPr id="176" name="Rectángulo redondeado 175"/>
          <xdr:cNvSpPr/>
        </xdr:nvSpPr>
        <xdr:spPr>
          <a:xfrm>
            <a:off x="11473295" y="467591"/>
            <a:ext cx="1108364" cy="519545"/>
          </a:xfrm>
          <a:prstGeom prst="round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a:solidFill>
                  <a:sysClr val="windowText" lastClr="000000"/>
                </a:solidFill>
              </a:rPr>
              <a:t>Herramienta</a:t>
            </a:r>
          </a:p>
          <a:p>
            <a:pPr algn="ctr"/>
            <a:r>
              <a:rPr lang="es-ES" sz="1100" b="1">
                <a:solidFill>
                  <a:srgbClr val="00B050"/>
                </a:solidFill>
                <a:latin typeface="Arial" panose="020B0604020202020204" pitchFamily="34" charset="0"/>
                <a:cs typeface="Arial" panose="020B0604020202020204" pitchFamily="34" charset="0"/>
              </a:rPr>
              <a:t>OBJETIVOS</a:t>
            </a:r>
          </a:p>
        </xdr:txBody>
      </xdr:sp>
      <xdr:sp macro="" textlink="">
        <xdr:nvSpPr>
          <xdr:cNvPr id="177" name="Elipse 176"/>
          <xdr:cNvSpPr/>
        </xdr:nvSpPr>
        <xdr:spPr>
          <a:xfrm>
            <a:off x="11776363" y="164523"/>
            <a:ext cx="450274" cy="389659"/>
          </a:xfrm>
          <a:prstGeom prst="ellipse">
            <a:avLst/>
          </a:prstGeom>
          <a:solidFill>
            <a:schemeClr val="bg1"/>
          </a:solid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1">
                <a:solidFill>
                  <a:sysClr val="windowText" lastClr="000000"/>
                </a:solidFill>
                <a:latin typeface="Arial" panose="020B0604020202020204" pitchFamily="34" charset="0"/>
                <a:cs typeface="Arial" panose="020B0604020202020204" pitchFamily="34" charset="0"/>
              </a:rPr>
              <a:t>1º</a:t>
            </a:r>
          </a:p>
        </xdr:txBody>
      </xdr:sp>
    </xdr:grpSp>
    <xdr:clientData/>
  </xdr:twoCellAnchor>
  <xdr:twoCellAnchor>
    <xdr:from>
      <xdr:col>16</xdr:col>
      <xdr:colOff>757383</xdr:colOff>
      <xdr:row>42</xdr:row>
      <xdr:rowOff>158456</xdr:rowOff>
    </xdr:from>
    <xdr:to>
      <xdr:col>20</xdr:col>
      <xdr:colOff>269586</xdr:colOff>
      <xdr:row>44</xdr:row>
      <xdr:rowOff>160191</xdr:rowOff>
    </xdr:to>
    <xdr:sp macro="" textlink="">
      <xdr:nvSpPr>
        <xdr:cNvPr id="178" name="Rectángulo redondeado 177"/>
        <xdr:cNvSpPr/>
      </xdr:nvSpPr>
      <xdr:spPr>
        <a:xfrm>
          <a:off x="11971483" y="15449256"/>
          <a:ext cx="256020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RESULTADOS_OBJETIVOS</a:t>
          </a:r>
        </a:p>
      </xdr:txBody>
    </xdr:sp>
    <xdr:clientData/>
  </xdr:twoCellAnchor>
  <xdr:twoCellAnchor>
    <xdr:from>
      <xdr:col>15</xdr:col>
      <xdr:colOff>121704</xdr:colOff>
      <xdr:row>76</xdr:row>
      <xdr:rowOff>59531</xdr:rowOff>
    </xdr:from>
    <xdr:to>
      <xdr:col>18</xdr:col>
      <xdr:colOff>297656</xdr:colOff>
      <xdr:row>78</xdr:row>
      <xdr:rowOff>113255</xdr:rowOff>
    </xdr:to>
    <xdr:sp macro="" textlink="">
      <xdr:nvSpPr>
        <xdr:cNvPr id="179" name="Rectángulo redondeado 178"/>
        <xdr:cNvSpPr/>
      </xdr:nvSpPr>
      <xdr:spPr>
        <a:xfrm>
          <a:off x="9944360" y="14251781"/>
          <a:ext cx="2461952" cy="458537"/>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s-ES" sz="1200" b="0">
              <a:solidFill>
                <a:sysClr val="windowText" lastClr="000000"/>
              </a:solidFill>
              <a:latin typeface="Arial" panose="020B0604020202020204" pitchFamily="34" charset="0"/>
              <a:cs typeface="Arial" panose="020B0604020202020204" pitchFamily="34" charset="0"/>
            </a:rPr>
            <a:t>Nos lleva</a:t>
          </a:r>
          <a:r>
            <a:rPr lang="es-ES" sz="1200" b="0" baseline="0">
              <a:solidFill>
                <a:sysClr val="windowText" lastClr="000000"/>
              </a:solidFill>
              <a:latin typeface="Arial" panose="020B0604020202020204" pitchFamily="34" charset="0"/>
              <a:cs typeface="Arial" panose="020B0604020202020204" pitchFamily="34" charset="0"/>
            </a:rPr>
            <a:t> a esa hoja de cálculo</a:t>
          </a:r>
          <a:r>
            <a:rPr lang="es-ES" sz="1100" b="0" baseline="0">
              <a:solidFill>
                <a:sysClr val="windowText" lastClr="000000"/>
              </a:solidFill>
              <a:latin typeface="Arial" panose="020B0604020202020204" pitchFamily="34" charset="0"/>
              <a:cs typeface="Arial" panose="020B0604020202020204" pitchFamily="34" charset="0"/>
            </a:rPr>
            <a:t>.</a:t>
          </a:r>
          <a:endParaRPr lang="es-ES" sz="1100" b="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18</xdr:col>
      <xdr:colOff>669451</xdr:colOff>
      <xdr:row>76</xdr:row>
      <xdr:rowOff>116398</xdr:rowOff>
    </xdr:from>
    <xdr:to>
      <xdr:col>24</xdr:col>
      <xdr:colOff>453570</xdr:colOff>
      <xdr:row>78</xdr:row>
      <xdr:rowOff>113255</xdr:rowOff>
    </xdr:to>
    <xdr:sp macro="" textlink="">
      <xdr:nvSpPr>
        <xdr:cNvPr id="180" name="Rectángulo redondeado 179"/>
        <xdr:cNvSpPr/>
      </xdr:nvSpPr>
      <xdr:spPr>
        <a:xfrm>
          <a:off x="13460165" y="20844612"/>
          <a:ext cx="4356119" cy="396000"/>
        </a:xfrm>
        <a:prstGeom prst="roundRect">
          <a:avLst/>
        </a:prstGeom>
        <a:solidFill>
          <a:schemeClr val="bg1">
            <a:lumMod val="95000"/>
          </a:schemeClr>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Este listado se muestra según el orden de las hojas de cálculo.</a:t>
          </a:r>
        </a:p>
      </xdr:txBody>
    </xdr:sp>
    <xdr:clientData/>
  </xdr:twoCellAnchor>
  <xdr:twoCellAnchor>
    <xdr:from>
      <xdr:col>18</xdr:col>
      <xdr:colOff>650587</xdr:colOff>
      <xdr:row>75</xdr:row>
      <xdr:rowOff>90921</xdr:rowOff>
    </xdr:from>
    <xdr:to>
      <xdr:col>19</xdr:col>
      <xdr:colOff>38100</xdr:colOff>
      <xdr:row>76</xdr:row>
      <xdr:rowOff>152400</xdr:rowOff>
    </xdr:to>
    <xdr:cxnSp macro="">
      <xdr:nvCxnSpPr>
        <xdr:cNvPr id="181" name="Conector recto de flecha 180"/>
        <xdr:cNvCxnSpPr/>
      </xdr:nvCxnSpPr>
      <xdr:spPr>
        <a:xfrm flipH="1" flipV="1">
          <a:off x="13452187" y="21553921"/>
          <a:ext cx="149513" cy="251979"/>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517967</xdr:colOff>
      <xdr:row>41</xdr:row>
      <xdr:rowOff>29561</xdr:rowOff>
    </xdr:from>
    <xdr:to>
      <xdr:col>25</xdr:col>
      <xdr:colOff>1479992</xdr:colOff>
      <xdr:row>43</xdr:row>
      <xdr:rowOff>125637</xdr:rowOff>
    </xdr:to>
    <xdr:sp macro="" textlink="">
      <xdr:nvSpPr>
        <xdr:cNvPr id="182" name="Rectángulo redondeado 181"/>
        <xdr:cNvSpPr/>
      </xdr:nvSpPr>
      <xdr:spPr>
        <a:xfrm>
          <a:off x="14900717" y="7581525"/>
          <a:ext cx="4010025" cy="477076"/>
        </a:xfrm>
        <a:prstGeom prst="roundRect">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chemeClr val="bg1"/>
              </a:solidFill>
              <a:latin typeface="Arial" panose="020B0604020202020204" pitchFamily="34" charset="0"/>
              <a:cs typeface="Arial" panose="020B0604020202020204" pitchFamily="34" charset="0"/>
            </a:rPr>
            <a:t>Esta hoja de cálculo se actualiza y genera automáticamente.</a:t>
          </a:r>
          <a:endParaRPr lang="es-ES" sz="1100" b="0" baseline="0">
            <a:solidFill>
              <a:schemeClr val="bg1"/>
            </a:solidFill>
            <a:latin typeface="Arial" panose="020B0604020202020204" pitchFamily="34" charset="0"/>
            <a:cs typeface="Arial" panose="020B0604020202020204" pitchFamily="34" charset="0"/>
          </a:endParaRPr>
        </a:p>
        <a:p>
          <a:pPr algn="ctr"/>
          <a:r>
            <a:rPr lang="es-ES" sz="1100" b="0" baseline="0">
              <a:solidFill>
                <a:schemeClr val="bg1"/>
              </a:solidFill>
              <a:latin typeface="Arial" panose="020B0604020202020204" pitchFamily="34" charset="0"/>
              <a:cs typeface="Arial" panose="020B0604020202020204" pitchFamily="34" charset="0"/>
            </a:rPr>
            <a:t>Resumen de todos los empleados del programa.</a:t>
          </a:r>
          <a:endParaRPr lang="es-ES" sz="1100" b="0">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356511</xdr:colOff>
      <xdr:row>1</xdr:row>
      <xdr:rowOff>58008</xdr:rowOff>
    </xdr:from>
    <xdr:to>
      <xdr:col>25</xdr:col>
      <xdr:colOff>1426939</xdr:colOff>
      <xdr:row>5</xdr:row>
      <xdr:rowOff>43542</xdr:rowOff>
    </xdr:to>
    <xdr:sp macro="" textlink="">
      <xdr:nvSpPr>
        <xdr:cNvPr id="183" name="Rectángulo redondeado 182"/>
        <xdr:cNvSpPr/>
      </xdr:nvSpPr>
      <xdr:spPr>
        <a:xfrm>
          <a:off x="15229118" y="139651"/>
          <a:ext cx="4118428" cy="747534"/>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twoCellAnchor>
    <xdr:from>
      <xdr:col>8</xdr:col>
      <xdr:colOff>300260</xdr:colOff>
      <xdr:row>41</xdr:row>
      <xdr:rowOff>1766</xdr:rowOff>
    </xdr:from>
    <xdr:to>
      <xdr:col>13</xdr:col>
      <xdr:colOff>608688</xdr:colOff>
      <xdr:row>44</xdr:row>
      <xdr:rowOff>168728</xdr:rowOff>
    </xdr:to>
    <xdr:sp macro="" textlink="">
      <xdr:nvSpPr>
        <xdr:cNvPr id="184" name="Rectángulo redondeado 183"/>
        <xdr:cNvSpPr/>
      </xdr:nvSpPr>
      <xdr:spPr>
        <a:xfrm>
          <a:off x="5226046" y="7553730"/>
          <a:ext cx="4118428" cy="738462"/>
        </a:xfrm>
        <a:prstGeom prst="roundRect">
          <a:avLst/>
        </a:prstGeom>
        <a:solidFill>
          <a:schemeClr val="bg1">
            <a:lumMod val="85000"/>
          </a:schemeClr>
        </a:solidFill>
        <a:ln>
          <a:solidFill>
            <a:schemeClr val="bg2">
              <a:lumMod val="50000"/>
            </a:schemeClr>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l"/>
          <a:r>
            <a:rPr lang="es-ES" sz="1400" b="0">
              <a:solidFill>
                <a:sysClr val="windowText" lastClr="000000"/>
              </a:solidFill>
              <a:latin typeface="Wingdings" panose="05000000000000000000" pitchFamily="2" charset="2"/>
              <a:cs typeface="Arial" panose="020B0604020202020204" pitchFamily="34" charset="0"/>
            </a:rPr>
            <a:t> </a:t>
          </a:r>
          <a:r>
            <a:rPr lang="es-ES" sz="1100" b="0">
              <a:solidFill>
                <a:sysClr val="windowText" lastClr="000000"/>
              </a:solidFill>
              <a:latin typeface="Arial" panose="020B0604020202020204" pitchFamily="34" charset="0"/>
              <a:cs typeface="Arial" panose="020B0604020202020204" pitchFamily="34" charset="0"/>
            </a:rPr>
            <a:t>Rellenar solo las celdas sombreadas en color </a:t>
          </a:r>
          <a:r>
            <a:rPr lang="es-ES" sz="1100" b="1">
              <a:solidFill>
                <a:schemeClr val="bg1">
                  <a:lumMod val="50000"/>
                </a:schemeClr>
              </a:solidFill>
              <a:latin typeface="Arial" panose="020B0604020202020204" pitchFamily="34" charset="0"/>
              <a:cs typeface="Arial" panose="020B0604020202020204" pitchFamily="34" charset="0"/>
            </a:rPr>
            <a:t>GRIS</a:t>
          </a:r>
          <a:r>
            <a:rPr lang="es-ES" sz="1100" b="0">
              <a:solidFill>
                <a:sysClr val="windowText" lastClr="000000"/>
              </a:solidFill>
              <a:latin typeface="Arial" panose="020B0604020202020204" pitchFamily="34" charset="0"/>
              <a:cs typeface="Arial" panose="020B0604020202020204" pitchFamily="34" charset="0"/>
            </a:rPr>
            <a:t>.</a:t>
          </a:r>
          <a:br>
            <a:rPr lang="es-ES" sz="1100" b="0">
              <a:solidFill>
                <a:sysClr val="windowText" lastClr="000000"/>
              </a:solidFill>
              <a:latin typeface="Arial" panose="020B0604020202020204" pitchFamily="34" charset="0"/>
              <a:cs typeface="Arial" panose="020B0604020202020204" pitchFamily="34" charset="0"/>
            </a:rPr>
          </a:br>
          <a:r>
            <a:rPr lang="es-ES" sz="1100" b="0">
              <a:solidFill>
                <a:sysClr val="windowText" lastClr="000000"/>
              </a:solidFill>
              <a:latin typeface="Arial" panose="020B0604020202020204" pitchFamily="34" charset="0"/>
              <a:cs typeface="Arial" panose="020B0604020202020204" pitchFamily="34" charset="0"/>
            </a:rPr>
            <a:t>Las celdas aparecerán resaltadas en </a:t>
          </a:r>
          <a:r>
            <a:rPr lang="es-ES" sz="1100" b="1">
              <a:solidFill>
                <a:srgbClr val="FF0000"/>
              </a:solidFill>
              <a:latin typeface="Arial" panose="020B0604020202020204" pitchFamily="34" charset="0"/>
              <a:cs typeface="Arial" panose="020B0604020202020204" pitchFamily="34" charset="0"/>
            </a:rPr>
            <a:t>ROJO</a:t>
          </a:r>
          <a:r>
            <a:rPr lang="es-ES" sz="1100" b="0">
              <a:solidFill>
                <a:sysClr val="windowText" lastClr="000000"/>
              </a:solidFill>
              <a:latin typeface="Arial" panose="020B0604020202020204" pitchFamily="34" charset="0"/>
              <a:cs typeface="Arial" panose="020B0604020202020204" pitchFamily="34" charset="0"/>
            </a:rPr>
            <a:t> si no se cumple lo marcado en el "Reglamento de la ED".</a:t>
          </a:r>
        </a:p>
      </xdr:txBody>
    </xdr:sp>
    <xdr:clientData/>
  </xdr:twoCellAnchor>
  <xdr:twoCellAnchor>
    <xdr:from>
      <xdr:col>15</xdr:col>
      <xdr:colOff>536094</xdr:colOff>
      <xdr:row>75</xdr:row>
      <xdr:rowOff>78662</xdr:rowOff>
    </xdr:from>
    <xdr:to>
      <xdr:col>15</xdr:col>
      <xdr:colOff>546677</xdr:colOff>
      <xdr:row>76</xdr:row>
      <xdr:rowOff>183700</xdr:rowOff>
    </xdr:to>
    <xdr:cxnSp macro="">
      <xdr:nvCxnSpPr>
        <xdr:cNvPr id="174" name="Conector recto de flecha 173"/>
        <xdr:cNvCxnSpPr/>
      </xdr:nvCxnSpPr>
      <xdr:spPr>
        <a:xfrm flipV="1">
          <a:off x="10358750" y="14080412"/>
          <a:ext cx="10583" cy="295538"/>
        </a:xfrm>
        <a:prstGeom prst="straightConnector1">
          <a:avLst/>
        </a:prstGeom>
        <a:ln w="2857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47624</xdr:colOff>
      <xdr:row>80</xdr:row>
      <xdr:rowOff>31750</xdr:rowOff>
    </xdr:from>
    <xdr:to>
      <xdr:col>13</xdr:col>
      <xdr:colOff>555625</xdr:colOff>
      <xdr:row>115</xdr:row>
      <xdr:rowOff>111125</xdr:rowOff>
    </xdr:to>
    <xdr:sp macro="" textlink="">
      <xdr:nvSpPr>
        <xdr:cNvPr id="5" name="CuadroTexto 4"/>
        <xdr:cNvSpPr txBox="1"/>
      </xdr:nvSpPr>
      <xdr:spPr>
        <a:xfrm>
          <a:off x="333374" y="14970125"/>
          <a:ext cx="9112251" cy="693737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6350" indent="-6350" algn="just">
            <a:lnSpc>
              <a:spcPct val="106000"/>
            </a:lnSpc>
            <a:spcAft>
              <a:spcPts val="0"/>
            </a:spcAft>
          </a:pPr>
          <a:r>
            <a:rPr lang="es-ES" sz="1100">
              <a:solidFill>
                <a:srgbClr val="000000"/>
              </a:solidFill>
              <a:effectLst/>
              <a:latin typeface="Calibri" panose="020F0502020204030204" pitchFamily="34" charset="0"/>
              <a:ea typeface="Calibri" panose="020F0502020204030204" pitchFamily="34" charset="0"/>
            </a:rPr>
            <a:t>¿</a:t>
          </a:r>
          <a:r>
            <a:rPr lang="es-ES" sz="1100">
              <a:solidFill>
                <a:srgbClr val="000000"/>
              </a:solidFill>
              <a:effectLst/>
              <a:latin typeface="Calibri" panose="020F0502020204030204" pitchFamily="34" charset="0"/>
              <a:ea typeface="Times New Roman" panose="02020603050405020304" pitchFamily="18" charset="0"/>
            </a:rPr>
            <a:t>QU</a:t>
          </a:r>
          <a:r>
            <a:rPr lang="es-ES" sz="1100">
              <a:solidFill>
                <a:srgbClr val="000000"/>
              </a:solidFill>
              <a:effectLst/>
              <a:latin typeface="Calibri" panose="020F0502020204030204" pitchFamily="34" charset="0"/>
              <a:ea typeface="Calibri" panose="020F0502020204030204" pitchFamily="34" charset="0"/>
            </a:rPr>
            <a:t>É</a:t>
          </a:r>
          <a:r>
            <a:rPr lang="es-ES" sz="1100">
              <a:solidFill>
                <a:srgbClr val="000000"/>
              </a:solidFill>
              <a:effectLst/>
              <a:latin typeface="Calibri" panose="020F0502020204030204" pitchFamily="34" charset="0"/>
              <a:ea typeface="Times New Roman" panose="02020603050405020304" pitchFamily="18" charset="0"/>
            </a:rPr>
            <a:t> SON LAS BOLSAS</a:t>
          </a:r>
          <a:r>
            <a:rPr lang="es-ES" sz="1100">
              <a:solidFill>
                <a:srgbClr val="000000"/>
              </a:solidFill>
              <a:effectLst/>
              <a:latin typeface="Calibri" panose="020F0502020204030204" pitchFamily="34" charset="0"/>
              <a:ea typeface="Calibri" panose="020F0502020204030204" pitchFamily="34" charset="0"/>
            </a:rPr>
            <a:t>?</a:t>
          </a:r>
          <a:r>
            <a:rPr lang="es-ES" sz="1100">
              <a:solidFill>
                <a:srgbClr val="000000"/>
              </a:solidFill>
              <a:effectLst/>
              <a:latin typeface="Calibri" panose="020F0502020204030204" pitchFamily="34" charset="0"/>
              <a:ea typeface="Times New Roman" panose="02020603050405020304" pitchFamily="18" charset="0"/>
            </a:rPr>
            <a:t>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No todos los empleados tienen el mismo tiempo de prestación de servicios ni la misma jornada laboral durante el año, lo que naturalmente genera diferencias en el cálculo de las cuantías individuales. Para evitar que el importe no asignado quede sin distribuir, se crean las bolsas como fondo común que permite reaprovechar ese excedente.  Por ejemplo, un empleado que ha trabajado todo el año a jornada completa tendrá un coeficiente único igual a 1, lo que significa que no genera excedente: se le asigna la cuantía completa que le corresponde. En cambio, si otro empleado ha trabajado solo seis meses o ha tenido una jornada reducida, su coeficiente será menor que 1, y el importe no asignado por esa diferencia se redistribuye a través de las bolsas.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Este excedente puede surgir por varias razones: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Finalización de contrato/nombramiento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Total o Parcial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voluntaria de jornada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Situaciones administrativas que afectan el cómputo, entre otras.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endParaRPr lang="es-ES" sz="1100">
            <a:solidFill>
              <a:srgbClr val="000000"/>
            </a:solidFill>
            <a:effectLst/>
            <a:latin typeface="Calibri Light" panose="020F0302020204030204" pitchFamily="34"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Dependiendo del tipo de situación, ese importe no asignado se redistribuye en una de dos vías: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Bolsa general del Ayuntamiento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b="1"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Bolsa del programa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Bef>
              <a:spcPts val="1200"/>
            </a:spcBef>
            <a:spcAft>
              <a:spcPts val="0"/>
            </a:spcAft>
          </a:pPr>
          <a:r>
            <a:rPr lang="es-ES" sz="1100" b="1" kern="0">
              <a:solidFill>
                <a:srgbClr val="0070C0"/>
              </a:solidFill>
              <a:effectLst/>
              <a:latin typeface="Calibri Light" panose="020F0302020204030204" pitchFamily="34" charset="0"/>
              <a:ea typeface="Times New Roman" panose="02020603050405020304" pitchFamily="18" charset="0"/>
              <a:cs typeface="Calibri Light" panose="020F0302020204030204" pitchFamily="34" charset="0"/>
            </a:rPr>
            <a:t>Bolsa general del Ayuntamiento  </a:t>
          </a:r>
          <a:endParaRPr lang="es-ES" sz="1600" b="1" kern="0">
            <a:solidFill>
              <a:srgbClr val="2E74B5"/>
            </a:solidFill>
            <a:effectLst/>
            <a:latin typeface="Calibri Light" panose="020F0302020204030204" pitchFamily="34" charset="0"/>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La bolsa general recoge el importe no asignado a empleados que no han mantenido una relación laboral completa con el Ayuntamiento durante el año. </a:t>
          </a: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Esto incluye: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Finalización de contrato/nombramiento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total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Jornada parcial que nace de la relación contractual.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Bef>
              <a:spcPts val="1200"/>
            </a:spcBef>
            <a:spcAft>
              <a:spcPts val="0"/>
            </a:spcAft>
          </a:pPr>
          <a:r>
            <a:rPr lang="es-ES" sz="1100" b="1" kern="0">
              <a:solidFill>
                <a:srgbClr val="0070C0"/>
              </a:solidFill>
              <a:effectLst/>
              <a:latin typeface="Calibri Light" panose="020F0302020204030204" pitchFamily="34" charset="0"/>
              <a:ea typeface="Times New Roman" panose="02020603050405020304" pitchFamily="18" charset="0"/>
              <a:cs typeface="Calibri Light" panose="020F0302020204030204" pitchFamily="34" charset="0"/>
            </a:rPr>
            <a:t>Bolsa del programa  </a:t>
          </a:r>
          <a:endParaRPr lang="es-ES" sz="1600" b="1" kern="0">
            <a:solidFill>
              <a:srgbClr val="2E74B5"/>
            </a:solidFill>
            <a:effectLst/>
            <a:latin typeface="Calibri Light" panose="020F0302020204030204" pitchFamily="34" charset="0"/>
            <a:ea typeface="Times New Roman" panose="02020603050405020304" pitchFamily="18" charset="0"/>
            <a:cs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Estas situaciones incluyen: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Suspensión de empleo y sueldo por expediente disciplinario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Días sin sueldo/Permisos por asuntos propios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Tiempo como reservista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Jubilación Parcial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En estos casos, el importe no asignado no se transfiere a la bolsa general, sino que se redistribuye entre los compañeros del mismo programa, aumentando su cuantía individual. </a:t>
          </a:r>
          <a:endParaRPr lang="es-ES" sz="1100">
            <a:solidFill>
              <a:srgbClr val="000000"/>
            </a:solidFill>
            <a:effectLst/>
            <a:latin typeface="Times New Roman" panose="02020603050405020304" pitchFamily="18" charset="0"/>
            <a:ea typeface="Times New Roman" panose="02020603050405020304" pitchFamily="18" charset="0"/>
          </a:endParaRPr>
        </a:p>
        <a:p>
          <a:pPr marL="6350" indent="-6350" algn="just">
            <a:lnSpc>
              <a:spcPct val="106000"/>
            </a:lnSpc>
            <a:spcAft>
              <a:spcPts val="0"/>
            </a:spcAft>
          </a:pPr>
          <a:endParaRPr lang="es-ES" sz="1100">
            <a:solidFill>
              <a:srgbClr val="000000"/>
            </a:solidFill>
            <a:effectLst/>
            <a:latin typeface="Calibri Light" panose="020F0302020204030204" pitchFamily="34" charset="0"/>
            <a:ea typeface="Times New Roman" panose="02020603050405020304" pitchFamily="18"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Situaciones exentas que mantienen coeficiente 1 y no generan excedente para el reparto en bolsa </a:t>
          </a:r>
          <a:endParaRPr lang="es-ES" sz="1100">
            <a:solidFill>
              <a:srgbClr val="000000"/>
            </a:solidFill>
            <a:effectLst/>
            <a:latin typeface="Times New Roman" panose="02020603050405020304" pitchFamily="18" charset="0"/>
            <a:ea typeface="Times New Roman" panose="02020603050405020304" pitchFamily="18"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de jornada por conciliación familiar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Reducción de jornada por violencia de género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342900" lvl="0" indent="-342900" algn="just" fontAlgn="base">
            <a:lnSpc>
              <a:spcPct val="106000"/>
            </a:lnSpc>
            <a:spcAft>
              <a:spcPts val="0"/>
            </a:spcAft>
            <a:buClr>
              <a:srgbClr val="000000"/>
            </a:buClr>
            <a:buSzPts val="1000"/>
            <a:buFont typeface="Arial" panose="020B0604020202020204" pitchFamily="34" charset="0"/>
            <a:buChar char="•"/>
          </a:pPr>
          <a:r>
            <a:rPr lang="es-ES" sz="1100" u="none" strike="noStrike">
              <a:solidFill>
                <a:srgbClr val="000000"/>
              </a:solidFill>
              <a:effectLst/>
              <a:uFill>
                <a:solidFill>
                  <a:srgbClr val="000000"/>
                </a:solidFill>
              </a:uFill>
              <a:latin typeface="Calibri Light" panose="020F0302020204030204" pitchFamily="34" charset="0"/>
              <a:ea typeface="Arial" panose="020B0604020202020204" pitchFamily="34" charset="0"/>
              <a:cs typeface="Arial" panose="020B0604020202020204" pitchFamily="34" charset="0"/>
            </a:rPr>
            <a:t>Incapacidad temporal con pago directo por el INSS, siempre que haya reincorporación efectiva al puesto de trabajo </a:t>
          </a:r>
          <a:endParaRPr lang="es-ES" sz="1100" u="none" strike="noStrike">
            <a:solidFill>
              <a:srgbClr val="000000"/>
            </a:solidFill>
            <a:effectLst/>
            <a:uFill>
              <a:solidFill>
                <a:srgbClr val="000000"/>
              </a:solidFill>
            </a:uFill>
            <a:latin typeface="Arial" panose="020B0604020202020204" pitchFamily="34" charset="0"/>
            <a:ea typeface="Arial" panose="020B0604020202020204" pitchFamily="34" charset="0"/>
            <a:cs typeface="Arial" panose="020B0604020202020204" pitchFamily="34" charset="0"/>
          </a:endParaRPr>
        </a:p>
        <a:p>
          <a:pPr marL="6350" indent="-6350" algn="just">
            <a:lnSpc>
              <a:spcPct val="106000"/>
            </a:lnSpc>
            <a:spcAft>
              <a:spcPts val="0"/>
            </a:spcAft>
          </a:pPr>
          <a:r>
            <a:rPr lang="es-ES" sz="1100">
              <a:solidFill>
                <a:srgbClr val="000000"/>
              </a:solidFill>
              <a:effectLst/>
              <a:latin typeface="Calibri Light" panose="020F0302020204030204" pitchFamily="34" charset="0"/>
              <a:ea typeface="Times New Roman" panose="02020603050405020304" pitchFamily="18" charset="0"/>
            </a:rPr>
            <a:t>Estas situaciones se consideran computables a todos los efectos dentro del programa, y no afectan ni al cálculo del coeficiente ni al reparto de las bolsas. </a:t>
          </a:r>
          <a:endParaRPr lang="es-ES" sz="1100">
            <a:solidFill>
              <a:srgbClr val="000000"/>
            </a:solidFill>
            <a:effectLst/>
            <a:latin typeface="Times New Roman" panose="02020603050405020304" pitchFamily="18" charset="0"/>
            <a:ea typeface="Times New Roman" panose="02020603050405020304" pitchFamily="18" charset="0"/>
          </a:endParaRPr>
        </a:p>
      </xdr:txBody>
    </xdr:sp>
    <xdr:clientData/>
  </xdr:twoCellAnchor>
  <xdr:twoCellAnchor editAs="oneCell">
    <xdr:from>
      <xdr:col>14</xdr:col>
      <xdr:colOff>119062</xdr:colOff>
      <xdr:row>83</xdr:row>
      <xdr:rowOff>35717</xdr:rowOff>
    </xdr:from>
    <xdr:to>
      <xdr:col>25</xdr:col>
      <xdr:colOff>1381125</xdr:colOff>
      <xdr:row>99</xdr:row>
      <xdr:rowOff>30878</xdr:rowOff>
    </xdr:to>
    <xdr:pic>
      <xdr:nvPicPr>
        <xdr:cNvPr id="2" name="Imagen 1"/>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632156" y="15644811"/>
          <a:ext cx="9191625" cy="323366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15</xdr:col>
      <xdr:colOff>0</xdr:colOff>
      <xdr:row>80</xdr:row>
      <xdr:rowOff>0</xdr:rowOff>
    </xdr:from>
    <xdr:to>
      <xdr:col>18</xdr:col>
      <xdr:colOff>274203</xdr:colOff>
      <xdr:row>82</xdr:row>
      <xdr:rowOff>1735</xdr:rowOff>
    </xdr:to>
    <xdr:sp macro="" textlink="">
      <xdr:nvSpPr>
        <xdr:cNvPr id="68" name="Rectángulo redondeado 67"/>
        <xdr:cNvSpPr/>
      </xdr:nvSpPr>
      <xdr:spPr>
        <a:xfrm>
          <a:off x="9822656" y="14989969"/>
          <a:ext cx="2560203" cy="382735"/>
        </a:xfrm>
        <a:prstGeom prst="roundRect">
          <a:avLst/>
        </a:prstGeom>
        <a:solidFill>
          <a:schemeClr val="bg1">
            <a:lumMod val="95000"/>
          </a:schemeClr>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100" b="0">
              <a:solidFill>
                <a:sysClr val="windowText" lastClr="000000"/>
              </a:solidFill>
              <a:latin typeface="Arial" panose="020B0604020202020204" pitchFamily="34" charset="0"/>
              <a:cs typeface="Arial" panose="020B0604020202020204" pitchFamily="34" charset="0"/>
            </a:rPr>
            <a:t>Hoja: </a:t>
          </a:r>
          <a:r>
            <a:rPr lang="es-ES" sz="1100" b="1">
              <a:solidFill>
                <a:sysClr val="windowText" lastClr="000000"/>
              </a:solidFill>
              <a:latin typeface="Arial" panose="020B0604020202020204" pitchFamily="34" charset="0"/>
              <a:cs typeface="Arial" panose="020B0604020202020204" pitchFamily="34" charset="0"/>
            </a:rPr>
            <a:t>RESULTADOS_OBJETIVOS</a:t>
          </a:r>
        </a:p>
      </xdr:txBody>
    </xdr:sp>
    <xdr:clientData/>
  </xdr:twoCellAnchor>
</xdr:wsDr>
</file>

<file path=xl/persons/person.xml><?xml version="1.0" encoding="utf-8"?>
<personList xmlns="http://schemas.microsoft.com/office/spreadsheetml/2018/threadedcomments" xmlns:x="http://schemas.openxmlformats.org/spreadsheetml/2006/main">
  <person displayName="Francisco Navarro Carro" id="{AEAD6972-9522-4589-89FF-DBD0015BBD22}" userId="S::fnavarro@valora2021.com::b7993a27-c6c4-4a40-9514-5e384eca3bc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4-09-10T08:15:39.47" personId="{AEAD6972-9522-4589-89FF-DBD0015BBD22}" id="{CCC6B7BC-58D4-414A-B2AA-A5935C49751F}">
    <text>Definición clara y concisa de lo que se va a medir (no necesario incluir el Umbral de consecución)</text>
  </threadedComment>
  <threadedComment ref="C7" dT="2024-09-10T08:16:59.16" personId="{AEAD6972-9522-4589-89FF-DBD0015BBD22}" id="{9A5AF991-DD67-4E55-8D87-1B0D5FE62993}">
    <text>Indicar si la consecución del Objetivo depende únicamente de su actuación (individual) o si requiere de la aportación de otras personas de su unidad (colectivo)</text>
  </threadedComment>
  <threadedComment ref="D7" dT="2024-09-10T08:13:41.94" personId="{AEAD6972-9522-4589-89FF-DBD0015BBD22}" id="{507BC5F7-5E80-451C-9D40-B6EA7E0099E4}">
    <text>Considerar los límites mínimos y máximos de ponderación para cada objetivo que se establecen en el Manual de Evaluación del Desempeño</text>
  </threadedComment>
  <threadedComment ref="E7" dT="2024-09-10T08:19:09.36" personId="{AEAD6972-9522-4589-89FF-DBD0015BBD22}" id="{06E7C513-6423-4D2B-828B-476A06F171E1}">
    <text>Indicar si lo que se mide es un “número” de ejecuciones de aquello que se ha descrito en el Objetivo o un “porcentaje” (que considera la ejecución respecto de un total)</text>
  </threadedComment>
  <threadedComment ref="F7" dT="2024-09-11T11:37:17.50" personId="{AEAD6972-9522-4589-89FF-DBD0015BBD22}" id="{EFD82D7B-0944-4AF7-832F-01B0ECDCE9B5}">
    <text xml:space="preserve">Indicar cual es el valor a superar (en el caso de ser al alza) o no superar (en el caso de ser a la baja). Se indica en números enteros, con independencia de que se trate de categoría "Número" o "Porcentaje"
</text>
  </threadedComment>
  <threadedComment ref="G7" dT="2024-08-12T10:10:14.95" personId="{AEAD6972-9522-4589-89FF-DBD0015BBD22}" id="{459B309C-52A7-49A5-B984-B3D4B800ED70}">
    <text>Alza: SÍ se debe superar el valor especificado en el umbral para que puntúe positivamente
Baja: NO se debe superar el valor especificado en el umbral para que puntúe positivamente</text>
  </threadedComment>
  <threadedComment ref="H7" dT="2024-09-11T11:37:49.49" personId="{AEAD6972-9522-4589-89FF-DBD0015BBD22}" id="{14BDA03E-62FC-494D-9BEB-66D20224660B}">
    <text>Indicar, al final del periodo de evaluación, cual es el valor obtenido. Se indica en números enteros, con independencia de que se trate de categoría "Número" o "Porcentaje"</text>
  </threadedComment>
</ThreadedComments>
</file>

<file path=xl/threadedComments/threadedComment2.xml><?xml version="1.0" encoding="utf-8"?>
<ThreadedComments xmlns="http://schemas.microsoft.com/office/spreadsheetml/2018/threadedcomments" xmlns:x="http://schemas.openxmlformats.org/spreadsheetml/2006/main">
  <threadedComment ref="B7" dT="2024-09-10T08:15:34.31" personId="{AEAD6972-9522-4589-89FF-DBD0015BBD22}" id="{C5573A2D-348C-43FE-A09C-CB4CF5E7CEF3}">
    <text>Definición clara y concisa de lo que se va a medir (no necesario incluir el Umbral de consecución)</text>
  </threadedComment>
  <threadedComment ref="C7" dT="2024-09-10T08:17:08.44" personId="{AEAD6972-9522-4589-89FF-DBD0015BBD22}" id="{C0902CB6-2319-4987-9055-792D327E712B}">
    <text>Indicar si la consecución del Objetivo depende únicamente de su actuación (individual) o si requiere de la aportación de otras personas de su unidad (colectivo)</text>
  </threadedComment>
  <threadedComment ref="D7" dT="2024-09-10T08:13:48.80" personId="{AEAD6972-9522-4589-89FF-DBD0015BBD22}" id="{4E3DDF46-C6DD-4D5A-9FF0-F4976E0337E9}">
    <text>Considerar los límites mínimos y máximos de ponderación para cada objetivo que se establecen en el Manual de Evaluación del Desempeño</text>
  </threadedComment>
  <threadedComment ref="E7" dT="2024-09-10T08:19:09.36" personId="{AEAD6972-9522-4589-89FF-DBD0015BBD22}" id="{04CD2778-2595-4194-94F9-E4DDA4511544}">
    <text>Indicar si lo que se mide es un “número” de ejecuciones de aquello que se ha descrito en el Objetivo o un “porcentaje” (que considera la ejecución respecto de un total)</text>
  </threadedComment>
  <threadedComment ref="F7" dT="2024-09-11T11:39:12.39" personId="{AEAD6972-9522-4589-89FF-DBD0015BBD22}" id="{C8954FA2-0280-49A7-8C7C-412DAD6725D4}">
    <text>Indicar cual es el valor a superar (en el caso de ser al alza) o no superar (en el caso de ser a la baja). Se indica en números enteros, con independencia de que se trate de categoría "Número" o "Porcentaje"</text>
  </threadedComment>
  <threadedComment ref="G7" dT="2024-08-12T10:10:14.95" personId="{AEAD6972-9522-4589-89FF-DBD0015BBD22}" id="{3B6274A7-A66D-4617-B97E-F9E5C7DB7B21}">
    <text>Alza: SÍ se debe superar el valor especificado en el umbral para que puntúe positivamente
Baja: NO se debe superar el valor especificado en el umbral para que puntúe positivamente</text>
  </threadedComment>
  <threadedComment ref="H7" dT="2024-09-11T11:39:57.82" personId="{AEAD6972-9522-4589-89FF-DBD0015BBD22}" id="{06D8F802-3152-4722-BD83-117021BADB8E}">
    <text>Indicar, al final del periodo de evaluación, cual es el valor obtenido. Se indica en números enteros, con independencia de que se trate de categoría "Número" o "Porcentaje"</text>
  </threadedComment>
</ThreadedComments>
</file>

<file path=xl/threadedComments/threadedComment3.xml><?xml version="1.0" encoding="utf-8"?>
<ThreadedComments xmlns="http://schemas.microsoft.com/office/spreadsheetml/2018/threadedcomments" xmlns:x="http://schemas.openxmlformats.org/spreadsheetml/2006/main">
  <threadedComment ref="B7" dT="2024-09-10T08:15:29.06" personId="{AEAD6972-9522-4589-89FF-DBD0015BBD22}" id="{1E032B5F-5998-487D-ADB8-3DB1A7F1B280}">
    <text>Definición clara y concisa de lo que se va a medir (no necesario incluir el Umbral de consecución)</text>
  </threadedComment>
  <threadedComment ref="C7" dT="2024-09-10T08:17:14.74" personId="{AEAD6972-9522-4589-89FF-DBD0015BBD22}" id="{16A0A7FF-2BE4-43A2-9A04-07506859E12D}">
    <text>Indicar si la consecución del Objetivo depende únicamente de su actuación (individual) o si requiere de la aportación de otras personas de su unidad (colectivo)</text>
  </threadedComment>
  <threadedComment ref="D7" dT="2024-09-10T08:13:58.16" personId="{AEAD6972-9522-4589-89FF-DBD0015BBD22}" id="{3259FD25-4B37-44A7-A085-9AC7DEFDFA72}">
    <text>Considerar los límites mínimos y máximos de ponderación para cada objetivo que se establecen en el Manual de Evaluación del Desempeño</text>
  </threadedComment>
  <threadedComment ref="E7" dT="2024-09-10T08:19:09.36" personId="{AEAD6972-9522-4589-89FF-DBD0015BBD22}" id="{4F5E1809-7DE7-4EC6-A43D-BF5CE8323A79}">
    <text>Indicar si lo que se mide es un “número” de ejecuciones de aquello que se ha descrito en el Objetivo o un “porcentaje” (que considera la ejecución respecto de un total)</text>
  </threadedComment>
  <threadedComment ref="F7" dT="2024-09-11T11:39:17.82" personId="{AEAD6972-9522-4589-89FF-DBD0015BBD22}" id="{39904AC0-3194-487C-A23F-8344956F489A}">
    <text>Indicar cual es el valor a superar (en el caso de ser al alza) o no superar (en el caso de ser a la baja). Se indica en números enteros, con independencia de que se trate de categoría "Número" o "Porcentaje"</text>
  </threadedComment>
  <threadedComment ref="G7" dT="2024-08-12T10:10:14.95" personId="{AEAD6972-9522-4589-89FF-DBD0015BBD22}" id="{69FA6204-45E2-473F-897A-FCE697D1ED95}">
    <text>Alza: SÍ se debe superar el valor especificado en el umbral para que puntúe positivamente
Baja: NO se debe superar el valor especificado en el umbral para que puntúe positivamente</text>
  </threadedComment>
  <threadedComment ref="H7" dT="2024-09-11T11:40:03.82" personId="{AEAD6972-9522-4589-89FF-DBD0015BBD22}" id="{3F07B45B-5586-4C7D-815F-A18C99A11965}">
    <text>Indicar, al final del periodo de evaluación, cual es el valor obtenido. Se indica en números enteros, con independencia de que se trate de categoría "Número" o "Porcentaje"</text>
  </threadedComment>
</ThreadedComments>
</file>

<file path=xl/threadedComments/threadedComment4.xml><?xml version="1.0" encoding="utf-8"?>
<ThreadedComments xmlns="http://schemas.microsoft.com/office/spreadsheetml/2018/threadedcomments" xmlns:x="http://schemas.openxmlformats.org/spreadsheetml/2006/main">
  <threadedComment ref="B7" dT="2024-09-10T08:15:19.79" personId="{AEAD6972-9522-4589-89FF-DBD0015BBD22}" id="{CE4B6DBD-D170-47CB-A2D5-09E420C05353}">
    <text>Definición clara y concisa de lo que se va a medir (no necesario incluir el Umbral de consecución)</text>
  </threadedComment>
  <threadedComment ref="C7" dT="2024-09-10T08:17:19.86" personId="{AEAD6972-9522-4589-89FF-DBD0015BBD22}" id="{FBF54966-43F7-44C1-B912-EAD9E81A1C87}">
    <text>Indicar si la consecución del Objetivo depende únicamente de su actuación (individual) o si requiere de la aportación de otras personas de su unidad (colectivo)</text>
  </threadedComment>
  <threadedComment ref="D7" dT="2024-09-10T08:14:03.53" personId="{AEAD6972-9522-4589-89FF-DBD0015BBD22}" id="{60768281-0FEC-40B6-8F67-99B325617EA7}">
    <text>Considerar los límites mínimos y máximos de ponderación para cada objetivo que se establecen en el Manual de Evaluación del Desempeño</text>
  </threadedComment>
  <threadedComment ref="E7" dT="2024-09-10T08:19:09.36" personId="{AEAD6972-9522-4589-89FF-DBD0015BBD22}" id="{DCC979BC-D609-4BD3-9B19-18A32BD04705}">
    <text>Indicar si lo que se mide es un “número” de ejecuciones de aquello que se ha descrito en el Objetivo o un “porcentaje” (que considera la ejecución respecto de un total)</text>
  </threadedComment>
  <threadedComment ref="F7" dT="2024-09-11T11:39:24.88" personId="{AEAD6972-9522-4589-89FF-DBD0015BBD22}" id="{4E1EDA29-ECCB-4B7A-9002-B5CF006690C0}">
    <text>Indicar cual es el valor a superar (en el caso de ser al alza) o no superar (en el caso de ser a la baja). Se indica en números enteros, con independencia de que se trate de categoría "Número" o "Porcentaje"</text>
  </threadedComment>
  <threadedComment ref="G7" dT="2024-08-12T10:10:14.95" personId="{AEAD6972-9522-4589-89FF-DBD0015BBD22}" id="{D7607D8E-C66D-49E4-A878-DFDB2A974A59}">
    <text>Alza: SÍ se debe superar el valor especificado en el umbral para que puntúe positivamente
Baja: NO se debe superar el valor especificado en el umbral para que puntúe positivamente</text>
  </threadedComment>
  <threadedComment ref="H7" dT="2024-09-11T11:40:09.10" personId="{AEAD6972-9522-4589-89FF-DBD0015BBD22}" id="{1B9F4F6B-4762-4830-8497-749D42F0A193}">
    <text>Indicar, al final del periodo de evaluación, cual es el valor obtenido. Se indica en números enteros, con independencia de que se trate de categoría "Número" o "Porcentaje"</text>
  </threadedComment>
</ThreadedComments>
</file>

<file path=xl/threadedComments/threadedComment5.xml><?xml version="1.0" encoding="utf-8"?>
<ThreadedComments xmlns="http://schemas.microsoft.com/office/spreadsheetml/2018/threadedcomments" xmlns:x="http://schemas.openxmlformats.org/spreadsheetml/2006/main">
  <threadedComment ref="B7" dT="2024-09-10T08:15:19.79" personId="{AEAD6972-9522-4589-89FF-DBD0015BBD22}" id="{8E93BFB3-073E-4687-9DB1-B511D2912412}">
    <text>Definición clara y concisa de lo que se va a medir (no necesario incluir el Umbral de consecución)</text>
  </threadedComment>
  <threadedComment ref="C7" dT="2024-09-10T08:17:19.86" personId="{AEAD6972-9522-4589-89FF-DBD0015BBD22}" id="{1A7DC028-D39C-4190-9596-5C1C86A8F9D4}">
    <text>Indicar si la consecución del Objetivo depende únicamente de su actuación (individual) o si requiere de la aportación de otras personas de su unidad (colectivo)</text>
  </threadedComment>
  <threadedComment ref="D7" dT="2024-09-10T08:14:03.53" personId="{AEAD6972-9522-4589-89FF-DBD0015BBD22}" id="{032EC7BD-CC2C-4D26-9226-1C540B619C3D}">
    <text>Considerar los límites mínimos y máximos de ponderación para cada objetivo que se establecen en el Manual de Evaluación del Desempeño</text>
  </threadedComment>
  <threadedComment ref="E7" dT="2024-09-10T08:19:09.36" personId="{AEAD6972-9522-4589-89FF-DBD0015BBD22}" id="{BABCF3B3-3C33-48CD-9A09-21D21FCA3BCF}">
    <text>Indicar si lo que se mide es un “número” de ejecuciones de aquello que se ha descrito en el Objetivo o un “porcentaje” (que considera la ejecución respecto de un total)</text>
  </threadedComment>
  <threadedComment ref="F7" dT="2024-09-11T11:39:31.71" personId="{AEAD6972-9522-4589-89FF-DBD0015BBD22}" id="{D44A6CE3-5FF2-4731-9D10-10FA1F4E28FF}">
    <text>Indicar cual es el valor a superar (en el caso de ser al alza) o no superar (en el caso de ser a la baja). Se indica en números enteros, con independencia de que se trate de categoría "Número" o "Porcentaje"</text>
  </threadedComment>
  <threadedComment ref="G7" dT="2024-08-12T10:10:14.95" personId="{AEAD6972-9522-4589-89FF-DBD0015BBD22}" id="{E2467E9F-7A1A-4F10-B7DB-4D6F26ADF97C}">
    <text>Alza: SÍ se debe superar el valor especificado en el umbral para que puntúe positivamente
Baja: NO se debe superar el valor especificado en el umbral para que puntúe positivamente</text>
  </threadedComment>
  <threadedComment ref="H7" dT="2024-09-11T11:40:14.17" personId="{AEAD6972-9522-4589-89FF-DBD0015BBD22}" id="{F0B2A1EF-5821-4D95-8B22-06725E127F35}">
    <text>Indicar, al final del periodo de evaluación, cual es el valor obtenido. Se indica en números enteros, con independencia de que se trate de categoría "Número" o "Porcentaje"</text>
  </threadedComment>
</ThreadedComments>
</file>

<file path=xl/threadedComments/threadedComment6.xml><?xml version="1.0" encoding="utf-8"?>
<ThreadedComments xmlns="http://schemas.microsoft.com/office/spreadsheetml/2018/threadedcomments" xmlns:x="http://schemas.openxmlformats.org/spreadsheetml/2006/main">
  <threadedComment ref="B7" dT="2024-09-10T08:15:19.79" personId="{AEAD6972-9522-4589-89FF-DBD0015BBD22}" id="{DEA641DC-8A5E-4D5F-9100-BBE87E8AC760}">
    <text>Definición clara y concisa de lo que se va a medir (no necesario incluir el Umbral de consecución)</text>
  </threadedComment>
  <threadedComment ref="C7" dT="2024-09-10T08:17:19.86" personId="{AEAD6972-9522-4589-89FF-DBD0015BBD22}" id="{4A842513-E3B0-4D71-8918-5151180C1A90}">
    <text>Indicar si la consecución del Objetivo depende únicamente de su actuación (individual) o si requiere de la aportación de otras personas de su unidad (colectivo)</text>
  </threadedComment>
  <threadedComment ref="D7" dT="2024-09-10T08:14:03.53" personId="{AEAD6972-9522-4589-89FF-DBD0015BBD22}" id="{A9A66BB7-FCC1-4BF1-86BB-59D56A4683AA}">
    <text>Considerar los límites mínimos y máximos de ponderación para cada objetivo que se establecen en el Manual de Evaluación del Desempeño</text>
  </threadedComment>
  <threadedComment ref="E7" dT="2024-09-10T08:19:09.36" personId="{AEAD6972-9522-4589-89FF-DBD0015BBD22}" id="{54A46E97-F4CF-4DC0-8A15-6473AD293140}">
    <text>Indicar si lo que se mide es un “número” de ejecuciones de aquello que se ha descrito en el Objetivo o un “porcentaje” (que considera la ejecución respecto de un total)</text>
  </threadedComment>
  <threadedComment ref="G7" dT="2024-08-12T10:10:14.95" personId="{AEAD6972-9522-4589-89FF-DBD0015BBD22}" id="{EB31A3D6-7561-4803-AF83-5DA1C6DE0E1D}">
    <text>Alza: SÍ se debe superar el valor especificado en el umbral para que puntúe positivamente
Baja: NO se debe superar el valor especificado en el umbral para que puntúe positivamente</text>
  </threadedComment>
</ThreadedComments>
</file>

<file path=xl/threadedComments/threadedComment7.xml><?xml version="1.0" encoding="utf-8"?>
<ThreadedComments xmlns="http://schemas.microsoft.com/office/spreadsheetml/2018/threadedcomments" xmlns:x="http://schemas.openxmlformats.org/spreadsheetml/2006/main">
  <threadedComment ref="B7" dT="2024-09-10T08:15:19.79" personId="{AEAD6972-9522-4589-89FF-DBD0015BBD22}" id="{9D76BC58-76FE-43FA-A932-ED27785AD67E}">
    <text>Definición clara y concisa de lo que se va a medir (no necesario incluir el Umbral de consecución)</text>
  </threadedComment>
  <threadedComment ref="C7" dT="2024-09-10T08:17:19.86" personId="{AEAD6972-9522-4589-89FF-DBD0015BBD22}" id="{D9DD8C52-4371-4B7D-AA13-E454DFDE3ACF}">
    <text>Indicar si la consecución del Objetivo depende únicamente de su actuación (individual) o si requiere de la aportación de otras personas de su unidad (colectivo)</text>
  </threadedComment>
  <threadedComment ref="D7" dT="2024-09-10T08:14:03.53" personId="{AEAD6972-9522-4589-89FF-DBD0015BBD22}" id="{1AAE19C5-93E6-4BD1-A3AD-175DF92E70FB}">
    <text>Considerar los límites mínimos y máximos de ponderación para cada objetivo que se establecen en el Manual de Evaluación del Desempeño</text>
  </threadedComment>
  <threadedComment ref="E7" dT="2024-09-10T08:19:09.36" personId="{AEAD6972-9522-4589-89FF-DBD0015BBD22}" id="{D374958C-C2AE-47D8-8116-5020561A8022}">
    <text>Indicar si lo que se mide es un “número” de ejecuciones de aquello que se ha descrito en el Objetivo o un “porcentaje” (que considera la ejecución respecto de un total)</text>
  </threadedComment>
  <threadedComment ref="G7" dT="2024-08-12T10:10:14.95" personId="{AEAD6972-9522-4589-89FF-DBD0015BBD22}" id="{264BAE49-1CBB-49FC-A1E5-B866FB7A335F}">
    <text>Alza: SÍ se debe superar el valor especificado en el umbral para que puntúe positivamente
Baja: NO se debe superar el valor especificado en el umbral para que puntúe positivamente</text>
  </threadedComment>
</ThreadedComments>
</file>

<file path=xl/threadedComments/threadedComment8.xml><?xml version="1.0" encoding="utf-8"?>
<ThreadedComments xmlns="http://schemas.microsoft.com/office/spreadsheetml/2018/threadedcomments" xmlns:x="http://schemas.openxmlformats.org/spreadsheetml/2006/main">
  <threadedComment ref="B7" dT="2024-09-10T08:15:19.79" personId="{AEAD6972-9522-4589-89FF-DBD0015BBD22}" id="{A11009BB-FF0E-435C-96FE-5AFA9CA91B11}">
    <text>Definición clara y concisa de lo que se va a medir (no necesario incluir el Umbral de consecución)</text>
  </threadedComment>
  <threadedComment ref="C7" dT="2024-09-10T08:17:19.86" personId="{AEAD6972-9522-4589-89FF-DBD0015BBD22}" id="{8384B7D8-C243-4F45-8063-994F610E79BF}">
    <text>Indicar si la consecución del Objetivo depende únicamente de su actuación (individual) o si requiere de la aportación de otras personas de su unidad (colectivo)</text>
  </threadedComment>
  <threadedComment ref="D7" dT="2024-09-10T08:14:03.53" personId="{AEAD6972-9522-4589-89FF-DBD0015BBD22}" id="{B74F590C-9D0E-41CC-9532-C12F310952B3}">
    <text>Considerar los límites mínimos y máximos de ponderación para cada objetivo que se establecen en el Manual de Evaluación del Desempeño</text>
  </threadedComment>
  <threadedComment ref="E7" dT="2024-09-10T08:19:09.36" personId="{AEAD6972-9522-4589-89FF-DBD0015BBD22}" id="{1FAD5E8D-3346-4FEB-AA10-3D2505143049}">
    <text>Indicar si lo que se mide es un “número” de ejecuciones de aquello que se ha descrito en el Objetivo o un “porcentaje” (que considera la ejecución respecto de un total)</text>
  </threadedComment>
  <threadedComment ref="G7" dT="2024-08-12T10:10:14.95" personId="{AEAD6972-9522-4589-89FF-DBD0015BBD22}" id="{D1AC3A96-FC5B-472D-A9CD-AE4562C7113C}">
    <text>Alza: SÍ se debe superar el valor especificado en el umbral para que puntúe positivamente
Baja: NO se debe superar el valor especificado en el umbral para que puntúe positivamente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44.xml"/><Relationship Id="rId2" Type="http://schemas.openxmlformats.org/officeDocument/2006/relationships/vmlDrawing" Target="../drawings/vmlDrawing44.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45.xml"/><Relationship Id="rId2" Type="http://schemas.openxmlformats.org/officeDocument/2006/relationships/vmlDrawing" Target="../drawings/vmlDrawing45.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comments" Target="../comments46.xml"/><Relationship Id="rId2" Type="http://schemas.openxmlformats.org/officeDocument/2006/relationships/vmlDrawing" Target="../drawings/vmlDrawing46.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comments" Target="../comments47.xml"/><Relationship Id="rId2" Type="http://schemas.openxmlformats.org/officeDocument/2006/relationships/vmlDrawing" Target="../drawings/vmlDrawing47.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48.xml"/><Relationship Id="rId2" Type="http://schemas.openxmlformats.org/officeDocument/2006/relationships/vmlDrawing" Target="../drawings/vmlDrawing48.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49.xml"/><Relationship Id="rId2" Type="http://schemas.openxmlformats.org/officeDocument/2006/relationships/vmlDrawing" Target="../drawings/vmlDrawing49.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3" Type="http://schemas.openxmlformats.org/officeDocument/2006/relationships/comments" Target="../comments51.xml"/><Relationship Id="rId2" Type="http://schemas.openxmlformats.org/officeDocument/2006/relationships/vmlDrawing" Target="../drawings/vmlDrawing51.v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comments" Target="../comments52.xml"/><Relationship Id="rId2" Type="http://schemas.openxmlformats.org/officeDocument/2006/relationships/vmlDrawing" Target="../drawings/vmlDrawing52.vml"/><Relationship Id="rId1" Type="http://schemas.openxmlformats.org/officeDocument/2006/relationships/printerSettings" Target="../printerSettings/printerSettings5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Z127"/>
  <sheetViews>
    <sheetView showGridLines="0" topLeftCell="A64" zoomScale="80" zoomScaleNormal="80" workbookViewId="0">
      <selection activeCell="P104" sqref="P104"/>
    </sheetView>
  </sheetViews>
  <sheetFormatPr baseColWidth="10" defaultRowHeight="15" x14ac:dyDescent="0.25"/>
  <cols>
    <col min="1" max="1" width="2.28515625" customWidth="1"/>
    <col min="2" max="2" width="3.140625" customWidth="1"/>
    <col min="14" max="14" width="11.42578125" customWidth="1"/>
    <col min="15" max="15" width="4.7109375" customWidth="1"/>
    <col min="26" max="26" width="23.28515625" customWidth="1"/>
    <col min="38" max="38" width="18.7109375" customWidth="1"/>
  </cols>
  <sheetData>
    <row r="1" spans="1:26" ht="6.6" customHeight="1" x14ac:dyDescent="0.25">
      <c r="A1" s="37"/>
      <c r="B1" s="37"/>
      <c r="C1" s="14"/>
      <c r="D1" s="14"/>
      <c r="E1" s="14"/>
      <c r="F1" s="14"/>
      <c r="G1" s="14"/>
      <c r="H1" s="14"/>
      <c r="I1" s="14"/>
      <c r="J1" s="14"/>
      <c r="K1" s="14"/>
      <c r="L1" s="14"/>
      <c r="M1" s="14"/>
      <c r="N1" s="14"/>
      <c r="O1" s="14"/>
      <c r="P1" s="14"/>
      <c r="Q1" s="14"/>
      <c r="R1" s="14"/>
      <c r="S1" s="14"/>
      <c r="T1" s="14"/>
      <c r="U1" s="14"/>
      <c r="V1" s="14"/>
      <c r="W1" s="14"/>
      <c r="X1" s="14"/>
      <c r="Y1" s="14"/>
      <c r="Z1" s="14"/>
    </row>
    <row r="2" spans="1:26" x14ac:dyDescent="0.25">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x14ac:dyDescent="0.2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x14ac:dyDescent="0.25">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x14ac:dyDescent="0.25">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x14ac:dyDescent="0.25">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ht="8.4499999999999993" customHeight="1" x14ac:dyDescent="0.2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x14ac:dyDescent="0.25">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x14ac:dyDescent="0.2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x14ac:dyDescent="0.25">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x14ac:dyDescent="0.25">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x14ac:dyDescent="0.25">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x14ac:dyDescent="0.2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x14ac:dyDescent="0.25">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x14ac:dyDescent="0.2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x14ac:dyDescent="0.25">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x14ac:dyDescent="0.2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x14ac:dyDescent="0.25">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x14ac:dyDescent="0.2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x14ac:dyDescent="0.25">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x14ac:dyDescent="0.2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x14ac:dyDescent="0.2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x14ac:dyDescent="0.25">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x14ac:dyDescent="0.2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x14ac:dyDescent="0.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x14ac:dyDescent="0.2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x14ac:dyDescent="0.25">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x14ac:dyDescent="0.25">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x14ac:dyDescent="0.2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x14ac:dyDescent="0.25">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x14ac:dyDescent="0.25">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x14ac:dyDescent="0.25">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x14ac:dyDescent="0.25">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x14ac:dyDescent="0.2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x14ac:dyDescent="0.2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x14ac:dyDescent="0.2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ht="15.75" x14ac:dyDescent="0.25">
      <c r="A38" s="14"/>
      <c r="B38" s="18" t="s">
        <v>34</v>
      </c>
      <c r="C38" s="14"/>
      <c r="D38" s="14"/>
      <c r="E38" s="14"/>
      <c r="F38" s="14"/>
      <c r="G38" s="14"/>
      <c r="H38" s="14"/>
      <c r="I38" s="14"/>
      <c r="J38" s="14"/>
      <c r="K38" s="14"/>
      <c r="L38" s="14"/>
      <c r="M38" s="14"/>
      <c r="N38" s="14"/>
      <c r="O38" s="14"/>
      <c r="P38" s="18" t="s">
        <v>34</v>
      </c>
      <c r="Q38" s="14"/>
      <c r="R38" s="14"/>
      <c r="S38" s="14"/>
      <c r="T38" s="14"/>
      <c r="U38" s="14"/>
      <c r="V38" s="14"/>
      <c r="W38" s="14"/>
      <c r="X38" s="14"/>
      <c r="Y38" s="14"/>
      <c r="Z38" s="14"/>
    </row>
    <row r="39" spans="1:26" ht="15.75" x14ac:dyDescent="0.25">
      <c r="A39" s="14"/>
      <c r="B39" s="18" t="s">
        <v>35</v>
      </c>
      <c r="C39" s="14"/>
      <c r="D39" s="14"/>
      <c r="E39" s="14"/>
      <c r="F39" s="14"/>
      <c r="G39" s="14"/>
      <c r="H39" s="14"/>
      <c r="I39" s="14"/>
      <c r="J39" s="14"/>
      <c r="K39" s="14"/>
      <c r="L39" s="14"/>
      <c r="M39" s="14"/>
      <c r="N39" s="14"/>
      <c r="O39" s="14"/>
      <c r="P39" s="18" t="s">
        <v>35</v>
      </c>
      <c r="Q39" s="14"/>
      <c r="R39" s="14"/>
      <c r="S39" s="14"/>
      <c r="T39" s="14"/>
      <c r="U39" s="14"/>
      <c r="V39" s="14"/>
      <c r="W39" s="14"/>
      <c r="X39" s="14"/>
      <c r="Y39" s="14"/>
      <c r="Z39" s="14"/>
    </row>
    <row r="40" spans="1:26" ht="15.75" x14ac:dyDescent="0.25">
      <c r="A40" s="14"/>
      <c r="B40" s="18" t="s">
        <v>36</v>
      </c>
      <c r="C40" s="14"/>
      <c r="D40" s="14"/>
      <c r="E40" s="14"/>
      <c r="F40" s="14"/>
      <c r="G40" s="14"/>
      <c r="H40" s="14"/>
      <c r="I40" s="14"/>
      <c r="J40" s="14"/>
      <c r="K40" s="14"/>
      <c r="L40" s="14"/>
      <c r="M40" s="14"/>
      <c r="N40" s="14"/>
      <c r="O40" s="14"/>
      <c r="P40" s="18" t="s">
        <v>36</v>
      </c>
      <c r="Q40" s="14"/>
      <c r="R40" s="14"/>
      <c r="S40" s="14"/>
      <c r="T40" s="14"/>
      <c r="U40" s="14"/>
      <c r="V40" s="14"/>
      <c r="W40" s="14"/>
      <c r="X40" s="14"/>
      <c r="Y40" s="14"/>
      <c r="Z40" s="14"/>
    </row>
    <row r="41" spans="1:26" ht="6.6" customHeight="1" x14ac:dyDescent="0.25">
      <c r="A41" s="14"/>
      <c r="B41" s="18"/>
      <c r="C41" s="14"/>
      <c r="D41" s="14"/>
      <c r="E41" s="14"/>
      <c r="F41" s="14"/>
      <c r="G41" s="14"/>
      <c r="H41" s="14"/>
      <c r="I41" s="14"/>
      <c r="J41" s="14"/>
      <c r="K41" s="14"/>
      <c r="L41" s="14"/>
      <c r="M41" s="14"/>
      <c r="N41" s="14"/>
      <c r="O41" s="19"/>
      <c r="P41" s="34"/>
      <c r="Q41" s="19"/>
      <c r="R41" s="19"/>
      <c r="S41" s="19"/>
      <c r="T41" s="19"/>
      <c r="U41" s="19"/>
      <c r="V41" s="19"/>
      <c r="W41" s="19"/>
      <c r="X41" s="19"/>
      <c r="Y41" s="19"/>
      <c r="Z41" s="19"/>
    </row>
    <row r="42" spans="1:26" x14ac:dyDescent="0.25">
      <c r="A42" s="14"/>
      <c r="B42" s="14"/>
      <c r="C42" s="14"/>
      <c r="D42" s="14"/>
      <c r="E42" s="14"/>
      <c r="F42" s="14"/>
      <c r="G42" s="14"/>
      <c r="H42" s="14"/>
      <c r="I42" s="14"/>
      <c r="J42" s="14"/>
      <c r="K42" s="14"/>
      <c r="L42" s="14"/>
      <c r="M42" s="14"/>
      <c r="N42" s="14"/>
      <c r="O42" s="19"/>
      <c r="P42" s="19"/>
      <c r="Q42" s="19"/>
      <c r="R42" s="19"/>
      <c r="S42" s="19"/>
      <c r="T42" s="19"/>
      <c r="U42" s="19"/>
      <c r="V42" s="19"/>
      <c r="W42" s="19"/>
      <c r="X42" s="19"/>
      <c r="Y42" s="19"/>
      <c r="Z42" s="19"/>
    </row>
    <row r="43" spans="1:26" x14ac:dyDescent="0.25">
      <c r="A43" s="14"/>
      <c r="B43" s="14"/>
      <c r="C43" s="14"/>
      <c r="D43" s="14"/>
      <c r="E43" s="14"/>
      <c r="F43" s="14"/>
      <c r="G43" s="14"/>
      <c r="H43" s="14"/>
      <c r="I43" s="14"/>
      <c r="J43" s="14"/>
      <c r="K43" s="14"/>
      <c r="L43" s="14"/>
      <c r="M43" s="14"/>
      <c r="N43" s="14"/>
      <c r="O43" s="19"/>
      <c r="P43" s="19"/>
      <c r="Q43" s="19"/>
      <c r="R43" s="19"/>
      <c r="S43" s="19"/>
      <c r="T43" s="19"/>
      <c r="U43" s="19"/>
      <c r="V43" s="19"/>
      <c r="W43" s="19"/>
      <c r="X43" s="19"/>
      <c r="Y43" s="19"/>
      <c r="Z43" s="19"/>
    </row>
    <row r="44" spans="1:26" x14ac:dyDescent="0.25">
      <c r="A44" s="14"/>
      <c r="B44" s="14"/>
      <c r="C44" s="14"/>
      <c r="D44" s="14"/>
      <c r="E44" s="14"/>
      <c r="F44" s="14"/>
      <c r="G44" s="14"/>
      <c r="H44" s="14"/>
      <c r="I44" s="14"/>
      <c r="J44" s="14"/>
      <c r="K44" s="14"/>
      <c r="L44" s="14"/>
      <c r="M44" s="14"/>
      <c r="N44" s="14"/>
      <c r="O44" s="19"/>
      <c r="P44" s="19"/>
      <c r="Q44" s="19"/>
      <c r="R44" s="19"/>
      <c r="S44" s="19"/>
      <c r="T44" s="19"/>
      <c r="U44" s="19"/>
      <c r="V44" s="19"/>
      <c r="W44" s="19"/>
      <c r="X44" s="19"/>
      <c r="Y44" s="19"/>
      <c r="Z44" s="19"/>
    </row>
    <row r="45" spans="1:26" x14ac:dyDescent="0.25">
      <c r="A45" s="14"/>
      <c r="B45" s="14"/>
      <c r="C45" s="14"/>
      <c r="D45" s="14"/>
      <c r="E45" s="14"/>
      <c r="F45" s="14"/>
      <c r="G45" s="14"/>
      <c r="H45" s="14"/>
      <c r="I45" s="14"/>
      <c r="J45" s="14"/>
      <c r="K45" s="14"/>
      <c r="L45" s="14"/>
      <c r="M45" s="14"/>
      <c r="N45" s="14"/>
      <c r="O45" s="19"/>
      <c r="P45" s="19"/>
      <c r="Q45" s="19"/>
      <c r="R45" s="19"/>
      <c r="S45" s="19"/>
      <c r="T45" s="19"/>
      <c r="U45" s="19"/>
      <c r="V45" s="19"/>
      <c r="W45" s="19"/>
      <c r="X45" s="19"/>
      <c r="Y45" s="19"/>
      <c r="Z45" s="19"/>
    </row>
    <row r="46" spans="1:26" x14ac:dyDescent="0.25">
      <c r="A46" s="14"/>
      <c r="B46" s="14"/>
      <c r="C46" s="14"/>
      <c r="D46" s="14"/>
      <c r="E46" s="14"/>
      <c r="F46" s="14"/>
      <c r="G46" s="14"/>
      <c r="H46" s="14"/>
      <c r="I46" s="14"/>
      <c r="J46" s="14"/>
      <c r="K46" s="14"/>
      <c r="L46" s="14"/>
      <c r="M46" s="14"/>
      <c r="N46" s="14"/>
      <c r="O46" s="19"/>
      <c r="P46" s="19"/>
      <c r="Q46" s="19"/>
      <c r="R46" s="19"/>
      <c r="S46" s="19"/>
      <c r="T46" s="19"/>
      <c r="U46" s="19"/>
      <c r="V46" s="19"/>
      <c r="W46" s="19"/>
      <c r="X46" s="19"/>
      <c r="Y46" s="19"/>
      <c r="Z46" s="19"/>
    </row>
    <row r="47" spans="1:26" x14ac:dyDescent="0.25">
      <c r="A47" s="14"/>
      <c r="B47" s="14"/>
      <c r="C47" s="14"/>
      <c r="D47" s="14"/>
      <c r="E47" s="14"/>
      <c r="F47" s="14"/>
      <c r="G47" s="14"/>
      <c r="H47" s="14"/>
      <c r="I47" s="14"/>
      <c r="J47" s="14"/>
      <c r="K47" s="14"/>
      <c r="L47" s="14"/>
      <c r="M47" s="14"/>
      <c r="N47" s="14"/>
      <c r="O47" s="19"/>
      <c r="P47" s="19"/>
      <c r="Q47" s="19"/>
      <c r="R47" s="19"/>
      <c r="S47" s="19"/>
      <c r="T47" s="19"/>
      <c r="U47" s="19"/>
      <c r="V47" s="19"/>
      <c r="W47" s="19"/>
      <c r="X47" s="19"/>
      <c r="Y47" s="19"/>
      <c r="Z47" s="19"/>
    </row>
    <row r="48" spans="1:26" x14ac:dyDescent="0.25">
      <c r="A48" s="14"/>
      <c r="B48" s="14"/>
      <c r="C48" s="14"/>
      <c r="D48" s="14"/>
      <c r="E48" s="14"/>
      <c r="F48" s="14"/>
      <c r="G48" s="14"/>
      <c r="H48" s="14"/>
      <c r="I48" s="14"/>
      <c r="J48" s="14"/>
      <c r="K48" s="14"/>
      <c r="L48" s="14"/>
      <c r="M48" s="14"/>
      <c r="N48" s="14"/>
      <c r="O48" s="19"/>
      <c r="P48" s="19"/>
      <c r="Q48" s="19"/>
      <c r="R48" s="19"/>
      <c r="S48" s="19"/>
      <c r="T48" s="19"/>
      <c r="U48" s="19"/>
      <c r="V48" s="19"/>
      <c r="W48" s="19"/>
      <c r="X48" s="19"/>
      <c r="Y48" s="19"/>
      <c r="Z48" s="19"/>
    </row>
    <row r="49" spans="1:26" x14ac:dyDescent="0.25">
      <c r="A49" s="14"/>
      <c r="B49" s="14"/>
      <c r="C49" s="14"/>
      <c r="D49" s="14"/>
      <c r="E49" s="14"/>
      <c r="F49" s="14"/>
      <c r="G49" s="14"/>
      <c r="H49" s="14"/>
      <c r="I49" s="14"/>
      <c r="J49" s="14"/>
      <c r="K49" s="14"/>
      <c r="L49" s="14"/>
      <c r="M49" s="14"/>
      <c r="N49" s="14"/>
      <c r="O49" s="19"/>
      <c r="P49" s="19"/>
      <c r="Q49" s="19"/>
      <c r="R49" s="19"/>
      <c r="S49" s="19"/>
      <c r="T49" s="19"/>
      <c r="U49" s="19"/>
      <c r="V49" s="19"/>
      <c r="W49" s="19"/>
      <c r="X49" s="19"/>
      <c r="Y49" s="19"/>
      <c r="Z49" s="19"/>
    </row>
    <row r="50" spans="1:26" x14ac:dyDescent="0.25">
      <c r="A50" s="14"/>
      <c r="B50" s="14"/>
      <c r="C50" s="14"/>
      <c r="D50" s="14"/>
      <c r="E50" s="14"/>
      <c r="F50" s="14"/>
      <c r="G50" s="14"/>
      <c r="H50" s="14"/>
      <c r="I50" s="14"/>
      <c r="J50" s="14"/>
      <c r="K50" s="14"/>
      <c r="L50" s="14"/>
      <c r="M50" s="14"/>
      <c r="N50" s="14"/>
      <c r="O50" s="19"/>
      <c r="P50" s="19"/>
      <c r="Q50" s="19"/>
      <c r="R50" s="19"/>
      <c r="S50" s="19"/>
      <c r="T50" s="19"/>
      <c r="U50" s="19"/>
      <c r="V50" s="19"/>
      <c r="W50" s="19"/>
      <c r="X50" s="19"/>
      <c r="Y50" s="19"/>
      <c r="Z50" s="19"/>
    </row>
    <row r="51" spans="1:26" x14ac:dyDescent="0.25">
      <c r="A51" s="14"/>
      <c r="B51" s="14"/>
      <c r="C51" s="14"/>
      <c r="D51" s="14"/>
      <c r="E51" s="14"/>
      <c r="F51" s="14"/>
      <c r="G51" s="14"/>
      <c r="H51" s="14"/>
      <c r="I51" s="14"/>
      <c r="J51" s="14"/>
      <c r="K51" s="14"/>
      <c r="L51" s="14"/>
      <c r="M51" s="14"/>
      <c r="N51" s="14"/>
      <c r="O51" s="19"/>
      <c r="P51" s="19"/>
      <c r="Q51" s="19"/>
      <c r="R51" s="19"/>
      <c r="S51" s="19"/>
      <c r="T51" s="19"/>
      <c r="U51" s="19"/>
      <c r="V51" s="19"/>
      <c r="W51" s="19"/>
      <c r="X51" s="19"/>
      <c r="Y51" s="19"/>
      <c r="Z51" s="19"/>
    </row>
    <row r="52" spans="1:26" x14ac:dyDescent="0.25">
      <c r="A52" s="14"/>
      <c r="B52" s="14"/>
      <c r="C52" s="14"/>
      <c r="D52" s="14"/>
      <c r="E52" s="14"/>
      <c r="F52" s="14"/>
      <c r="G52" s="14"/>
      <c r="H52" s="14"/>
      <c r="I52" s="14"/>
      <c r="J52" s="14"/>
      <c r="K52" s="14"/>
      <c r="L52" s="14"/>
      <c r="M52" s="14"/>
      <c r="N52" s="14"/>
      <c r="O52" s="19"/>
      <c r="P52" s="19"/>
      <c r="Q52" s="19"/>
      <c r="R52" s="19"/>
      <c r="S52" s="19"/>
      <c r="T52" s="19"/>
      <c r="U52" s="19"/>
      <c r="V52" s="19"/>
      <c r="W52" s="19"/>
      <c r="X52" s="19"/>
      <c r="Y52" s="19"/>
      <c r="Z52" s="19"/>
    </row>
    <row r="53" spans="1:26" x14ac:dyDescent="0.25">
      <c r="A53" s="14"/>
      <c r="B53" s="14"/>
      <c r="C53" s="14"/>
      <c r="D53" s="14"/>
      <c r="E53" s="14"/>
      <c r="F53" s="14"/>
      <c r="G53" s="14"/>
      <c r="H53" s="14"/>
      <c r="I53" s="14"/>
      <c r="J53" s="14"/>
      <c r="K53" s="14"/>
      <c r="L53" s="14"/>
      <c r="M53" s="14"/>
      <c r="N53" s="14"/>
      <c r="O53" s="19"/>
      <c r="P53" s="19"/>
      <c r="Q53" s="19"/>
      <c r="R53" s="19"/>
      <c r="S53" s="19"/>
      <c r="T53" s="19"/>
      <c r="U53" s="19"/>
      <c r="V53" s="19"/>
      <c r="W53" s="19"/>
      <c r="X53" s="19"/>
      <c r="Y53" s="19"/>
      <c r="Z53" s="19"/>
    </row>
    <row r="54" spans="1:26" x14ac:dyDescent="0.25">
      <c r="A54" s="14"/>
      <c r="B54" s="14"/>
      <c r="C54" s="14"/>
      <c r="D54" s="14"/>
      <c r="E54" s="14"/>
      <c r="F54" s="14"/>
      <c r="G54" s="14"/>
      <c r="H54" s="14"/>
      <c r="I54" s="14"/>
      <c r="J54" s="14"/>
      <c r="K54" s="14"/>
      <c r="L54" s="14"/>
      <c r="M54" s="14"/>
      <c r="N54" s="14"/>
      <c r="O54" s="19"/>
      <c r="P54" s="19"/>
      <c r="Q54" s="19"/>
      <c r="R54" s="19"/>
      <c r="S54" s="19"/>
      <c r="T54" s="19"/>
      <c r="U54" s="19"/>
      <c r="V54" s="19"/>
      <c r="W54" s="19"/>
      <c r="X54" s="19"/>
      <c r="Y54" s="19"/>
      <c r="Z54" s="19"/>
    </row>
    <row r="55" spans="1:26" x14ac:dyDescent="0.25">
      <c r="A55" s="14"/>
      <c r="B55" s="14"/>
      <c r="C55" s="14"/>
      <c r="D55" s="14"/>
      <c r="E55" s="14"/>
      <c r="F55" s="14"/>
      <c r="G55" s="14"/>
      <c r="H55" s="14"/>
      <c r="I55" s="14"/>
      <c r="J55" s="14"/>
      <c r="K55" s="14"/>
      <c r="L55" s="14"/>
      <c r="M55" s="14"/>
      <c r="N55" s="14"/>
      <c r="O55" s="19"/>
      <c r="P55" s="19"/>
      <c r="Q55" s="19"/>
      <c r="R55" s="19"/>
      <c r="S55" s="19"/>
      <c r="T55" s="19"/>
      <c r="U55" s="19"/>
      <c r="V55" s="19"/>
      <c r="W55" s="19"/>
      <c r="X55" s="19"/>
      <c r="Y55" s="19"/>
      <c r="Z55" s="19"/>
    </row>
    <row r="56" spans="1:26" x14ac:dyDescent="0.25">
      <c r="A56" s="14"/>
      <c r="B56" s="14"/>
      <c r="C56" s="14"/>
      <c r="D56" s="14"/>
      <c r="E56" s="14"/>
      <c r="F56" s="14"/>
      <c r="G56" s="14"/>
      <c r="H56" s="14"/>
      <c r="I56" s="14"/>
      <c r="J56" s="14"/>
      <c r="K56" s="14"/>
      <c r="L56" s="14"/>
      <c r="M56" s="14"/>
      <c r="N56" s="14"/>
      <c r="O56" s="19"/>
      <c r="P56" s="19"/>
      <c r="Q56" s="19"/>
      <c r="R56" s="19"/>
      <c r="S56" s="19"/>
      <c r="T56" s="19"/>
      <c r="U56" s="19"/>
      <c r="V56" s="19"/>
      <c r="W56" s="19"/>
      <c r="X56" s="19"/>
      <c r="Y56" s="19"/>
      <c r="Z56" s="19"/>
    </row>
    <row r="57" spans="1:26" x14ac:dyDescent="0.25">
      <c r="A57" s="14"/>
      <c r="B57" s="14"/>
      <c r="C57" s="14"/>
      <c r="D57" s="14"/>
      <c r="E57" s="14"/>
      <c r="F57" s="14"/>
      <c r="G57" s="14"/>
      <c r="H57" s="14"/>
      <c r="I57" s="14"/>
      <c r="J57" s="14"/>
      <c r="K57" s="14"/>
      <c r="L57" s="14"/>
      <c r="M57" s="14"/>
      <c r="N57" s="14"/>
      <c r="O57" s="19"/>
      <c r="P57" s="19"/>
      <c r="Q57" s="19"/>
      <c r="R57" s="19"/>
      <c r="S57" s="19"/>
      <c r="T57" s="19"/>
      <c r="U57" s="19"/>
      <c r="V57" s="19"/>
      <c r="W57" s="19"/>
      <c r="X57" s="19"/>
      <c r="Y57" s="19"/>
      <c r="Z57" s="19"/>
    </row>
    <row r="58" spans="1:26" x14ac:dyDescent="0.25">
      <c r="A58" s="14"/>
      <c r="B58" s="14"/>
      <c r="C58" s="14"/>
      <c r="D58" s="14"/>
      <c r="E58" s="14"/>
      <c r="F58" s="14"/>
      <c r="G58" s="14"/>
      <c r="H58" s="14"/>
      <c r="I58" s="14"/>
      <c r="J58" s="14"/>
      <c r="K58" s="14"/>
      <c r="L58" s="14"/>
      <c r="M58" s="14"/>
      <c r="N58" s="14"/>
      <c r="O58" s="19"/>
      <c r="P58" s="19"/>
      <c r="Q58" s="19"/>
      <c r="R58" s="19"/>
      <c r="S58" s="19"/>
      <c r="T58" s="19"/>
      <c r="U58" s="19"/>
      <c r="V58" s="19"/>
      <c r="W58" s="19"/>
      <c r="X58" s="19"/>
      <c r="Y58" s="19"/>
      <c r="Z58" s="19"/>
    </row>
    <row r="59" spans="1:26" x14ac:dyDescent="0.25">
      <c r="A59" s="14"/>
      <c r="B59" s="14"/>
      <c r="C59" s="14"/>
      <c r="D59" s="14"/>
      <c r="E59" s="14"/>
      <c r="F59" s="14"/>
      <c r="G59" s="14"/>
      <c r="H59" s="14"/>
      <c r="I59" s="14"/>
      <c r="J59" s="14"/>
      <c r="K59" s="14"/>
      <c r="L59" s="14"/>
      <c r="M59" s="14"/>
      <c r="N59" s="14"/>
      <c r="O59" s="19"/>
      <c r="P59" s="19"/>
      <c r="Q59" s="19"/>
      <c r="R59" s="19"/>
      <c r="S59" s="19"/>
      <c r="T59" s="19"/>
      <c r="U59" s="19"/>
      <c r="V59" s="19"/>
      <c r="W59" s="19"/>
      <c r="X59" s="19"/>
      <c r="Y59" s="19"/>
      <c r="Z59" s="19"/>
    </row>
    <row r="60" spans="1:26" x14ac:dyDescent="0.25">
      <c r="A60" s="14"/>
      <c r="B60" s="14"/>
      <c r="C60" s="14"/>
      <c r="D60" s="14"/>
      <c r="E60" s="14"/>
      <c r="F60" s="14"/>
      <c r="G60" s="14"/>
      <c r="H60" s="14"/>
      <c r="I60" s="14"/>
      <c r="J60" s="14"/>
      <c r="K60" s="14"/>
      <c r="L60" s="14"/>
      <c r="M60" s="14"/>
      <c r="N60" s="14"/>
      <c r="O60" s="19"/>
      <c r="P60" s="19"/>
      <c r="Q60" s="19"/>
      <c r="R60" s="19"/>
      <c r="S60" s="19"/>
      <c r="T60" s="19"/>
      <c r="U60" s="19"/>
      <c r="V60" s="19"/>
      <c r="W60" s="19"/>
      <c r="X60" s="19"/>
      <c r="Y60" s="19"/>
      <c r="Z60" s="19"/>
    </row>
    <row r="61" spans="1:26" x14ac:dyDescent="0.25">
      <c r="A61" s="14"/>
      <c r="B61" s="14"/>
      <c r="C61" s="14"/>
      <c r="D61" s="14"/>
      <c r="E61" s="14"/>
      <c r="F61" s="14"/>
      <c r="G61" s="14"/>
      <c r="H61" s="14"/>
      <c r="I61" s="14"/>
      <c r="J61" s="14"/>
      <c r="K61" s="14"/>
      <c r="L61" s="14"/>
      <c r="M61" s="14"/>
      <c r="N61" s="14"/>
      <c r="O61" s="19"/>
      <c r="P61" s="19"/>
      <c r="Q61" s="19"/>
      <c r="R61" s="19"/>
      <c r="S61" s="19"/>
      <c r="T61" s="19"/>
      <c r="U61" s="19"/>
      <c r="V61" s="19"/>
      <c r="W61" s="19"/>
      <c r="X61" s="19"/>
      <c r="Y61" s="19"/>
      <c r="Z61" s="19"/>
    </row>
    <row r="62" spans="1:26" x14ac:dyDescent="0.25">
      <c r="A62" s="14"/>
      <c r="B62" s="14"/>
      <c r="C62" s="14"/>
      <c r="D62" s="14"/>
      <c r="E62" s="14"/>
      <c r="F62" s="14"/>
      <c r="G62" s="14"/>
      <c r="H62" s="14"/>
      <c r="I62" s="14"/>
      <c r="J62" s="14"/>
      <c r="K62" s="14"/>
      <c r="L62" s="14"/>
      <c r="M62" s="14"/>
      <c r="N62" s="14"/>
      <c r="O62" s="19"/>
      <c r="P62" s="19"/>
      <c r="Q62" s="19"/>
      <c r="R62" s="19"/>
      <c r="S62" s="19"/>
      <c r="T62" s="19"/>
      <c r="U62" s="19"/>
      <c r="V62" s="19"/>
      <c r="W62" s="19"/>
      <c r="X62" s="19"/>
      <c r="Y62" s="19"/>
      <c r="Z62" s="19"/>
    </row>
    <row r="63" spans="1:26" x14ac:dyDescent="0.25">
      <c r="A63" s="14"/>
      <c r="B63" s="14"/>
      <c r="C63" s="14"/>
      <c r="D63" s="14"/>
      <c r="E63" s="14"/>
      <c r="F63" s="14"/>
      <c r="G63" s="14"/>
      <c r="H63" s="14"/>
      <c r="I63" s="14"/>
      <c r="J63" s="14"/>
      <c r="K63" s="14"/>
      <c r="L63" s="14"/>
      <c r="M63" s="14"/>
      <c r="N63" s="14"/>
      <c r="O63" s="19"/>
      <c r="P63" s="19"/>
      <c r="Q63" s="19"/>
      <c r="R63" s="19"/>
      <c r="S63" s="19"/>
      <c r="T63" s="19"/>
      <c r="U63" s="19"/>
      <c r="V63" s="19"/>
      <c r="W63" s="19"/>
      <c r="X63" s="19"/>
      <c r="Y63" s="19"/>
      <c r="Z63" s="19"/>
    </row>
    <row r="64" spans="1:26" x14ac:dyDescent="0.25">
      <c r="A64" s="14"/>
      <c r="B64" s="14"/>
      <c r="C64" s="14"/>
      <c r="D64" s="14"/>
      <c r="E64" s="14"/>
      <c r="F64" s="14"/>
      <c r="G64" s="14"/>
      <c r="H64" s="14"/>
      <c r="I64" s="14"/>
      <c r="J64" s="14"/>
      <c r="K64" s="14"/>
      <c r="L64" s="14"/>
      <c r="M64" s="14"/>
      <c r="N64" s="14"/>
      <c r="O64" s="19"/>
      <c r="P64" s="19"/>
      <c r="Q64" s="19"/>
      <c r="R64" s="19"/>
      <c r="S64" s="19"/>
      <c r="T64" s="19"/>
      <c r="U64" s="19"/>
      <c r="V64" s="19"/>
      <c r="W64" s="19"/>
      <c r="X64" s="19"/>
      <c r="Y64" s="19"/>
      <c r="Z64" s="19"/>
    </row>
    <row r="65" spans="1:26" x14ac:dyDescent="0.25">
      <c r="A65" s="14"/>
      <c r="B65" s="14"/>
      <c r="C65" s="14"/>
      <c r="D65" s="14"/>
      <c r="E65" s="14"/>
      <c r="F65" s="14"/>
      <c r="G65" s="14"/>
      <c r="H65" s="14"/>
      <c r="I65" s="14"/>
      <c r="J65" s="14"/>
      <c r="K65" s="14"/>
      <c r="L65" s="14"/>
      <c r="M65" s="14"/>
      <c r="N65" s="14"/>
      <c r="O65" s="19"/>
      <c r="P65" s="19"/>
      <c r="Q65" s="19"/>
      <c r="R65" s="19"/>
      <c r="S65" s="19"/>
      <c r="T65" s="19"/>
      <c r="U65" s="19"/>
      <c r="V65" s="19"/>
      <c r="W65" s="19"/>
      <c r="X65" s="19"/>
      <c r="Y65" s="19"/>
      <c r="Z65" s="19"/>
    </row>
    <row r="66" spans="1:26" x14ac:dyDescent="0.25">
      <c r="A66" s="14"/>
      <c r="B66" s="14"/>
      <c r="C66" s="14"/>
      <c r="D66" s="14"/>
      <c r="E66" s="14"/>
      <c r="F66" s="14"/>
      <c r="G66" s="14"/>
      <c r="H66" s="14"/>
      <c r="I66" s="14"/>
      <c r="J66" s="14"/>
      <c r="K66" s="14"/>
      <c r="L66" s="14"/>
      <c r="M66" s="14"/>
      <c r="N66" s="14"/>
      <c r="O66" s="19"/>
      <c r="P66" s="19"/>
      <c r="Q66" s="19"/>
      <c r="R66" s="19"/>
      <c r="S66" s="19"/>
      <c r="T66" s="19"/>
      <c r="U66" s="19"/>
      <c r="V66" s="19"/>
      <c r="W66" s="19"/>
      <c r="X66" s="19"/>
      <c r="Y66" s="19"/>
      <c r="Z66" s="19"/>
    </row>
    <row r="67" spans="1:26" x14ac:dyDescent="0.25">
      <c r="A67" s="14"/>
      <c r="B67" s="14"/>
      <c r="C67" s="14"/>
      <c r="D67" s="14"/>
      <c r="E67" s="14"/>
      <c r="F67" s="14"/>
      <c r="G67" s="14"/>
      <c r="H67" s="14"/>
      <c r="I67" s="14"/>
      <c r="J67" s="14"/>
      <c r="K67" s="14"/>
      <c r="L67" s="14"/>
      <c r="M67" s="14"/>
      <c r="N67" s="14"/>
      <c r="O67" s="19"/>
      <c r="P67" s="19"/>
      <c r="Q67" s="19"/>
      <c r="R67" s="19"/>
      <c r="S67" s="19"/>
      <c r="T67" s="19"/>
      <c r="U67" s="19"/>
      <c r="V67" s="19"/>
      <c r="W67" s="19"/>
      <c r="X67" s="19"/>
      <c r="Y67" s="19"/>
      <c r="Z67" s="19"/>
    </row>
    <row r="68" spans="1:26" x14ac:dyDescent="0.25">
      <c r="A68" s="14"/>
      <c r="B68" s="14"/>
      <c r="C68" s="14"/>
      <c r="D68" s="14"/>
      <c r="E68" s="14"/>
      <c r="F68" s="14"/>
      <c r="G68" s="14"/>
      <c r="H68" s="14"/>
      <c r="I68" s="14"/>
      <c r="J68" s="14"/>
      <c r="K68" s="14"/>
      <c r="L68" s="14"/>
      <c r="M68" s="14"/>
      <c r="N68" s="14"/>
      <c r="O68" s="19"/>
      <c r="P68" s="19"/>
      <c r="Q68" s="19"/>
      <c r="R68" s="19"/>
      <c r="S68" s="19"/>
      <c r="T68" s="19"/>
      <c r="U68" s="19"/>
      <c r="V68" s="19"/>
      <c r="W68" s="19"/>
      <c r="X68" s="19"/>
      <c r="Y68" s="19"/>
      <c r="Z68" s="19"/>
    </row>
    <row r="69" spans="1:26" x14ac:dyDescent="0.25">
      <c r="A69" s="14"/>
      <c r="B69" s="14"/>
      <c r="C69" s="14"/>
      <c r="D69" s="14"/>
      <c r="E69" s="14"/>
      <c r="F69" s="14"/>
      <c r="G69" s="14"/>
      <c r="H69" s="14"/>
      <c r="I69" s="14"/>
      <c r="J69" s="14"/>
      <c r="K69" s="14"/>
      <c r="L69" s="14"/>
      <c r="M69" s="14"/>
      <c r="N69" s="14"/>
      <c r="O69" s="19"/>
      <c r="P69" s="19"/>
      <c r="Q69" s="19"/>
      <c r="R69" s="19"/>
      <c r="S69" s="19"/>
      <c r="T69" s="19"/>
      <c r="U69" s="19"/>
      <c r="V69" s="19"/>
      <c r="W69" s="19"/>
      <c r="X69" s="19"/>
      <c r="Y69" s="19"/>
      <c r="Z69" s="19"/>
    </row>
    <row r="70" spans="1:26" x14ac:dyDescent="0.25">
      <c r="A70" s="14"/>
      <c r="B70" s="14"/>
      <c r="C70" s="14"/>
      <c r="D70" s="14"/>
      <c r="E70" s="14"/>
      <c r="F70" s="14"/>
      <c r="G70" s="14"/>
      <c r="H70" s="14"/>
      <c r="I70" s="14"/>
      <c r="J70" s="14"/>
      <c r="K70" s="14"/>
      <c r="L70" s="14"/>
      <c r="M70" s="14"/>
      <c r="N70" s="14"/>
      <c r="O70" s="19"/>
      <c r="P70" s="19"/>
      <c r="Q70" s="19"/>
      <c r="R70" s="19"/>
      <c r="S70" s="19"/>
      <c r="T70" s="19"/>
      <c r="U70" s="19"/>
      <c r="V70" s="19"/>
      <c r="W70" s="19"/>
      <c r="X70" s="19"/>
      <c r="Y70" s="19"/>
      <c r="Z70" s="19"/>
    </row>
    <row r="71" spans="1:26" x14ac:dyDescent="0.25">
      <c r="A71" s="14"/>
      <c r="B71" s="14"/>
      <c r="C71" s="14"/>
      <c r="D71" s="14"/>
      <c r="E71" s="14"/>
      <c r="F71" s="14"/>
      <c r="G71" s="14"/>
      <c r="H71" s="14"/>
      <c r="I71" s="14"/>
      <c r="J71" s="14"/>
      <c r="K71" s="14"/>
      <c r="L71" s="14"/>
      <c r="M71" s="14"/>
      <c r="N71" s="14"/>
      <c r="O71" s="19"/>
      <c r="P71" s="19"/>
      <c r="Q71" s="19"/>
      <c r="R71" s="19"/>
      <c r="S71" s="19"/>
      <c r="T71" s="19"/>
      <c r="U71" s="19"/>
      <c r="V71" s="19"/>
      <c r="W71" s="19"/>
      <c r="X71" s="19"/>
      <c r="Y71" s="19"/>
      <c r="Z71" s="19"/>
    </row>
    <row r="72" spans="1:26" x14ac:dyDescent="0.25">
      <c r="A72" s="14"/>
      <c r="B72" s="14"/>
      <c r="C72" s="14"/>
      <c r="D72" s="14"/>
      <c r="E72" s="14"/>
      <c r="F72" s="14"/>
      <c r="G72" s="14"/>
      <c r="H72" s="14"/>
      <c r="I72" s="14"/>
      <c r="J72" s="14"/>
      <c r="K72" s="14"/>
      <c r="L72" s="14"/>
      <c r="M72" s="14"/>
      <c r="N72" s="14"/>
      <c r="O72" s="19"/>
      <c r="P72" s="19"/>
      <c r="Q72" s="19"/>
      <c r="R72" s="19"/>
      <c r="S72" s="19"/>
      <c r="T72" s="19"/>
      <c r="U72" s="19"/>
      <c r="V72" s="19"/>
      <c r="W72" s="19"/>
      <c r="X72" s="19"/>
      <c r="Y72" s="19"/>
      <c r="Z72" s="19"/>
    </row>
    <row r="73" spans="1:26" x14ac:dyDescent="0.25">
      <c r="A73" s="14"/>
      <c r="B73" s="14"/>
      <c r="C73" s="14"/>
      <c r="D73" s="14"/>
      <c r="E73" s="14"/>
      <c r="F73" s="14"/>
      <c r="G73" s="14"/>
      <c r="H73" s="14"/>
      <c r="I73" s="14"/>
      <c r="J73" s="14"/>
      <c r="K73" s="14"/>
      <c r="L73" s="14"/>
      <c r="M73" s="14"/>
      <c r="N73" s="14"/>
      <c r="O73" s="19"/>
      <c r="P73" s="19"/>
      <c r="Q73" s="19"/>
      <c r="R73" s="19"/>
      <c r="S73" s="19"/>
      <c r="T73" s="19"/>
      <c r="U73" s="19"/>
      <c r="V73" s="19"/>
      <c r="W73" s="19"/>
      <c r="X73" s="19"/>
      <c r="Y73" s="19"/>
      <c r="Z73" s="19"/>
    </row>
    <row r="74" spans="1:26" x14ac:dyDescent="0.25">
      <c r="A74" s="14"/>
      <c r="B74" s="14"/>
      <c r="C74" s="14"/>
      <c r="D74" s="14"/>
      <c r="E74" s="14"/>
      <c r="F74" s="14"/>
      <c r="G74" s="14"/>
      <c r="H74" s="14"/>
      <c r="I74" s="14"/>
      <c r="J74" s="14"/>
      <c r="K74" s="14"/>
      <c r="L74" s="14"/>
      <c r="M74" s="14"/>
      <c r="N74" s="14"/>
      <c r="O74" s="19"/>
      <c r="P74" s="19"/>
      <c r="Q74" s="19"/>
      <c r="R74" s="19"/>
      <c r="S74" s="19"/>
      <c r="T74" s="19"/>
      <c r="U74" s="19"/>
      <c r="V74" s="19"/>
      <c r="W74" s="19"/>
      <c r="X74" s="19"/>
      <c r="Y74" s="19"/>
      <c r="Z74" s="19"/>
    </row>
    <row r="75" spans="1:26" x14ac:dyDescent="0.25">
      <c r="A75" s="14"/>
      <c r="B75" s="14"/>
      <c r="C75" s="14"/>
      <c r="D75" s="14"/>
      <c r="E75" s="14"/>
      <c r="F75" s="14"/>
      <c r="G75" s="14"/>
      <c r="H75" s="14"/>
      <c r="I75" s="14"/>
      <c r="J75" s="14"/>
      <c r="K75" s="14"/>
      <c r="L75" s="14"/>
      <c r="M75" s="14"/>
      <c r="N75" s="14"/>
      <c r="O75" s="19"/>
      <c r="P75" s="19"/>
      <c r="Q75" s="19"/>
      <c r="R75" s="19"/>
      <c r="S75" s="19"/>
      <c r="T75" s="19"/>
      <c r="U75" s="19"/>
      <c r="V75" s="19"/>
      <c r="W75" s="19"/>
      <c r="X75" s="19"/>
      <c r="Y75" s="19"/>
      <c r="Z75" s="19"/>
    </row>
    <row r="76" spans="1:26" x14ac:dyDescent="0.25">
      <c r="A76" s="14"/>
      <c r="B76" s="14"/>
      <c r="C76" s="14"/>
      <c r="D76" s="14"/>
      <c r="E76" s="14"/>
      <c r="F76" s="14"/>
      <c r="G76" s="14"/>
      <c r="H76" s="14"/>
      <c r="I76" s="14"/>
      <c r="J76" s="14"/>
      <c r="K76" s="14"/>
      <c r="L76" s="14"/>
      <c r="M76" s="14"/>
      <c r="N76" s="14"/>
      <c r="O76" s="19"/>
      <c r="P76" s="19"/>
      <c r="Q76" s="19"/>
      <c r="R76" s="19"/>
      <c r="S76" s="19"/>
      <c r="T76" s="19"/>
      <c r="U76" s="19"/>
      <c r="V76" s="19"/>
      <c r="W76" s="19"/>
      <c r="X76" s="19"/>
      <c r="Y76" s="19"/>
      <c r="Z76" s="19"/>
    </row>
    <row r="77" spans="1:26" ht="15.75" x14ac:dyDescent="0.25">
      <c r="A77" s="14"/>
      <c r="B77" s="18" t="s">
        <v>34</v>
      </c>
      <c r="C77" s="14"/>
      <c r="D77" s="14"/>
      <c r="E77" s="14"/>
      <c r="F77" s="14"/>
      <c r="G77" s="14"/>
      <c r="H77" s="14"/>
      <c r="I77" s="14"/>
      <c r="J77" s="14"/>
      <c r="K77" s="14"/>
      <c r="L77" s="14"/>
      <c r="M77" s="14"/>
      <c r="N77" s="14"/>
      <c r="O77" s="19"/>
      <c r="P77" s="19"/>
      <c r="Q77" s="19"/>
      <c r="R77" s="19"/>
      <c r="S77" s="19"/>
      <c r="T77" s="19"/>
      <c r="U77" s="19"/>
      <c r="V77" s="19"/>
      <c r="W77" s="19"/>
      <c r="X77" s="19"/>
      <c r="Y77" s="19"/>
      <c r="Z77" s="19"/>
    </row>
    <row r="78" spans="1:26" ht="15.75" x14ac:dyDescent="0.25">
      <c r="A78" s="14"/>
      <c r="B78" s="18" t="s">
        <v>35</v>
      </c>
      <c r="C78" s="14"/>
      <c r="D78" s="14"/>
      <c r="E78" s="14"/>
      <c r="F78" s="14"/>
      <c r="G78" s="14"/>
      <c r="H78" s="14"/>
      <c r="I78" s="14"/>
      <c r="J78" s="14"/>
      <c r="K78" s="14"/>
      <c r="L78" s="14"/>
      <c r="M78" s="14"/>
      <c r="N78" s="14"/>
      <c r="O78" s="19"/>
      <c r="P78" s="19"/>
      <c r="Q78" s="19"/>
      <c r="R78" s="19"/>
      <c r="S78" s="19"/>
      <c r="T78" s="19"/>
      <c r="U78" s="19"/>
      <c r="V78" s="19"/>
      <c r="W78" s="19"/>
      <c r="X78" s="19"/>
      <c r="Y78" s="19"/>
      <c r="Z78" s="19"/>
    </row>
    <row r="79" spans="1:26" ht="15.75" x14ac:dyDescent="0.25">
      <c r="A79" s="14"/>
      <c r="B79" s="18" t="s">
        <v>36</v>
      </c>
      <c r="C79" s="14"/>
      <c r="D79" s="14"/>
      <c r="E79" s="14"/>
      <c r="F79" s="14"/>
      <c r="G79" s="14"/>
      <c r="H79" s="14"/>
      <c r="I79" s="14"/>
      <c r="J79" s="14"/>
      <c r="K79" s="14"/>
      <c r="L79" s="14"/>
      <c r="M79" s="14"/>
      <c r="N79" s="14"/>
      <c r="O79" s="19"/>
      <c r="P79" s="19"/>
      <c r="Q79" s="19"/>
      <c r="R79" s="19"/>
      <c r="S79" s="19"/>
      <c r="T79" s="19"/>
      <c r="U79" s="19"/>
      <c r="V79" s="19"/>
      <c r="W79" s="19"/>
      <c r="X79" s="19"/>
      <c r="Y79" s="19"/>
      <c r="Z79" s="19"/>
    </row>
    <row r="80" spans="1:26" x14ac:dyDescent="0.2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ht="18.75" x14ac:dyDescent="0.3">
      <c r="A81" s="14"/>
      <c r="B81" s="14"/>
      <c r="C81" s="14"/>
      <c r="D81" s="14"/>
      <c r="E81" s="14"/>
      <c r="F81" s="14"/>
      <c r="G81" s="14"/>
      <c r="H81" s="14"/>
      <c r="I81" s="14"/>
      <c r="J81" s="14"/>
      <c r="K81" s="14"/>
      <c r="L81" s="14"/>
      <c r="M81" s="14"/>
      <c r="N81" s="14"/>
      <c r="O81" s="14"/>
      <c r="P81" s="14"/>
      <c r="Q81" s="14"/>
      <c r="R81" s="14"/>
      <c r="S81" s="14"/>
      <c r="T81" s="55" t="s">
        <v>47</v>
      </c>
      <c r="U81" s="14"/>
      <c r="V81" s="14"/>
      <c r="W81" s="14"/>
      <c r="X81" s="14"/>
      <c r="Y81" s="14"/>
      <c r="Z81" s="14"/>
    </row>
    <row r="82" spans="1:26" x14ac:dyDescent="0.2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x14ac:dyDescent="0.2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x14ac:dyDescent="0.2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x14ac:dyDescent="0.2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x14ac:dyDescent="0.2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ht="30" customHeight="1" x14ac:dyDescent="0.25">
      <c r="A87" s="14"/>
      <c r="B87" s="14"/>
      <c r="C87" s="14"/>
      <c r="D87" s="14"/>
      <c r="E87" s="14"/>
      <c r="F87" s="14"/>
      <c r="G87" s="14"/>
      <c r="H87" s="14"/>
      <c r="I87" s="14"/>
      <c r="J87" s="14"/>
      <c r="K87" s="15"/>
      <c r="L87" s="15"/>
      <c r="M87" s="15"/>
      <c r="N87" s="14"/>
      <c r="O87" s="14"/>
      <c r="P87" s="14"/>
      <c r="Q87" s="14"/>
      <c r="R87" s="14"/>
      <c r="S87" s="14"/>
      <c r="T87" s="14"/>
      <c r="U87" s="14"/>
      <c r="V87" s="14"/>
      <c r="W87" s="14"/>
      <c r="X87" s="14"/>
      <c r="Y87" s="14"/>
      <c r="Z87" s="14"/>
    </row>
    <row r="88" spans="1:26" x14ac:dyDescent="0.2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x14ac:dyDescent="0.2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x14ac:dyDescent="0.2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x14ac:dyDescent="0.2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x14ac:dyDescent="0.2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x14ac:dyDescent="0.2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x14ac:dyDescent="0.2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x14ac:dyDescent="0.2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x14ac:dyDescent="0.2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x14ac:dyDescent="0.2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x14ac:dyDescent="0.2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x14ac:dyDescent="0.2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21" spans="1:26" x14ac:dyDescent="0.25">
      <c r="D121" s="16"/>
      <c r="E121" s="16"/>
      <c r="F121" s="16"/>
      <c r="G121" s="16"/>
      <c r="H121" s="16"/>
    </row>
    <row r="122" spans="1:26" x14ac:dyDescent="0.25">
      <c r="D122" s="16"/>
      <c r="E122" s="16"/>
      <c r="F122" s="16"/>
      <c r="G122" s="16"/>
      <c r="H122" s="16"/>
    </row>
    <row r="127" spans="1:26" x14ac:dyDescent="0.25">
      <c r="D127" s="17"/>
      <c r="E127" s="17"/>
      <c r="F127" s="17"/>
      <c r="G127" s="17"/>
      <c r="H127" s="17"/>
    </row>
  </sheetData>
  <sheetProtection algorithmName="SHA-512" hashValue="9zoYLaFLlvF/YX8zVprM5XiMlI2yjwvY7hTVIdYcx51T2LVmFMGWcxkEF3FrLiNaX5KyqM9aOUsptuOB5OTmNA==" saltValue="L+RuTXUzZ7vp/kM5jxzVZQ==" spinCount="100000" sheet="1" objects="1" scenarios="1"/>
  <pageMargins left="3.937007874015748E-2" right="3.937007874015748E-2" top="7.874015748031496E-2" bottom="7.874015748031496E-2" header="0.31496062992125984" footer="0.31496062992125984"/>
  <pageSetup paperSize="9" pageOrder="overThenDown"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4" tint="0.59999389629810485"/>
  </sheetPr>
  <dimension ref="A1:H56"/>
  <sheetViews>
    <sheetView showGridLines="0" tabSelected="1" zoomScale="120" zoomScaleNormal="120" workbookViewId="0">
      <selection activeCell="C7" sqref="C7"/>
    </sheetView>
  </sheetViews>
  <sheetFormatPr baseColWidth="10" defaultColWidth="10.5703125" defaultRowHeight="11.25" x14ac:dyDescent="0.25"/>
  <cols>
    <col min="1" max="1" width="5.85546875" style="47" customWidth="1"/>
    <col min="2" max="2" width="9.5703125" style="47" customWidth="1"/>
    <col min="3" max="4" width="27.7109375" style="47" customWidth="1"/>
    <col min="5" max="5" width="25.140625" style="47" customWidth="1"/>
    <col min="6" max="6" width="9.42578125" style="47" customWidth="1"/>
    <col min="7" max="7" width="17.42578125" style="47" customWidth="1"/>
    <col min="8" max="8" width="15.42578125" style="47" customWidth="1"/>
    <col min="9" max="9" width="9" style="47" bestFit="1" customWidth="1"/>
    <col min="10" max="10" width="8.140625" style="47" bestFit="1" customWidth="1"/>
    <col min="11" max="11" width="11" style="47" bestFit="1" customWidth="1"/>
    <col min="12" max="12" width="1.42578125" style="47" bestFit="1" customWidth="1"/>
    <col min="13" max="13" width="7.5703125" style="47" bestFit="1" customWidth="1"/>
    <col min="14" max="14" width="7.85546875" style="47" bestFit="1" customWidth="1"/>
    <col min="15" max="16384" width="10.5703125" style="47"/>
  </cols>
  <sheetData>
    <row r="1" spans="1:8" ht="15.75" customHeight="1" x14ac:dyDescent="0.25">
      <c r="A1" s="57" t="s">
        <v>44</v>
      </c>
      <c r="B1" s="57"/>
      <c r="C1" s="46" t="s">
        <v>24</v>
      </c>
      <c r="D1" s="56" t="str">
        <f>IF(ISBLANK('Supervis@r1'!$C$2),"",'Supervis@r1'!$C$2)</f>
        <v>ADMINISTRACION</v>
      </c>
      <c r="E1" s="56"/>
      <c r="F1" s="56"/>
      <c r="G1" s="56"/>
      <c r="H1" s="56"/>
    </row>
    <row r="2" spans="1:8" ht="15.75" customHeight="1" x14ac:dyDescent="0.25">
      <c r="A2" s="58" t="str">
        <f>CONCATENATE('Supervis@r1'!$I$2,"-",'Supervis@r1'!$J$2)</f>
        <v>2025-2026</v>
      </c>
      <c r="B2" s="58"/>
      <c r="C2" s="46" t="s">
        <v>0</v>
      </c>
      <c r="D2" s="56" t="str">
        <f>IF(ISBLANK('Supervis@r1'!$C$3),"",CONCATENATE('Supervis@r1'!$C$3," ",'Supervis@r1'!$C$4,",",'Supervis@r1'!$C$5))</f>
        <v>JEFE JEFE,JOSE</v>
      </c>
      <c r="E2" s="56"/>
      <c r="F2" s="56"/>
      <c r="G2" s="56"/>
      <c r="H2" s="56"/>
    </row>
    <row r="3" spans="1:8" s="37" customFormat="1" ht="9.75" customHeight="1" x14ac:dyDescent="0.25"/>
    <row r="4" spans="1:8" s="51" customFormat="1" ht="53.25" customHeight="1" x14ac:dyDescent="0.25">
      <c r="A4" s="48" t="s">
        <v>37</v>
      </c>
      <c r="B4" s="49" t="s">
        <v>18</v>
      </c>
      <c r="C4" s="49" t="s">
        <v>38</v>
      </c>
      <c r="D4" s="49" t="s">
        <v>39</v>
      </c>
      <c r="E4" s="49" t="s">
        <v>40</v>
      </c>
      <c r="F4" s="50" t="s">
        <v>27</v>
      </c>
      <c r="G4" s="49" t="s">
        <v>26</v>
      </c>
      <c r="H4" s="49" t="s">
        <v>46</v>
      </c>
    </row>
    <row r="5" spans="1:8" s="54" customFormat="1" ht="15" customHeight="1" x14ac:dyDescent="0.25">
      <c r="A5" s="52">
        <v>1</v>
      </c>
      <c r="B5" s="53" t="str">
        <f>IF(ISBLANK('Supervis@r1'!G7),"",'Supervis@r1'!G7)</f>
        <v>23456789B</v>
      </c>
      <c r="C5" s="53" t="str">
        <f>IF(ISBLANK('Supervis@r1'!$C$3),"",'Supervis@r1'!$C$3)</f>
        <v>JEFE</v>
      </c>
      <c r="D5" s="53" t="str">
        <f>IF(ISBLANK('Supervis@r1'!$C$4),"",'Supervis@r1'!$C$4)</f>
        <v>JEFE</v>
      </c>
      <c r="E5" s="53" t="str">
        <f>IF(ISBLANK('Supervis@r1'!$C$5),"",'Supervis@r1'!$C$5)</f>
        <v>JOSE</v>
      </c>
      <c r="F5" s="53">
        <f>IF(ISBLANK('Supervis@r1'!$G$7),"",'Supervis@r1'!$J$19)</f>
        <v>0</v>
      </c>
      <c r="G5" s="53" t="str">
        <f>IF(B5="","","Supervisor/a")</f>
        <v>Supervisor/a</v>
      </c>
      <c r="H5" s="53" t="str">
        <f t="shared" ref="H5:H53" si="0">IF(B5="","",IF(F5&gt;=0,IF(F5&lt;70,"NO RECIBE BOLSA","RECIBE BOLSA"),""))</f>
        <v>NO RECIBE BOLSA</v>
      </c>
    </row>
    <row r="6" spans="1:8" s="54" customFormat="1" ht="15" x14ac:dyDescent="0.25">
      <c r="A6" s="52">
        <v>2</v>
      </c>
      <c r="B6" s="53" t="str">
        <f>IF(ISBLANK('Supervis@r1_Int'!$G$5),"",'Supervis@r1_Int'!G5)</f>
        <v/>
      </c>
      <c r="C6" s="53" t="str">
        <f>IF(ISBLANK('Supervis@r1_Int'!$C$6),"",'Supervis@r1_Int'!$C$6)</f>
        <v/>
      </c>
      <c r="D6" s="53" t="str">
        <f>IF(ISBLANK('Supervis@r1_Int'!$C$7),"",'Supervis@r1_Int'!$C$7)</f>
        <v/>
      </c>
      <c r="E6" s="53" t="str">
        <f>IF(ISBLANK('Supervis@r1_Int'!$C$8),"",'Supervis@r1_Int'!$C$8)</f>
        <v/>
      </c>
      <c r="F6" s="53" t="str">
        <f>IF(ISBLANK('Supervis@r1_Int'!G5),"",'Supervis@r1_Int'!J17)</f>
        <v/>
      </c>
      <c r="G6" s="53" t="str">
        <f>IF(B6="","","Supervisor/a Intermedio")</f>
        <v/>
      </c>
      <c r="H6" s="53" t="str">
        <f t="shared" si="0"/>
        <v/>
      </c>
    </row>
    <row r="7" spans="1:8" s="54" customFormat="1" ht="15.75" customHeight="1" x14ac:dyDescent="0.25">
      <c r="A7" s="52">
        <v>3</v>
      </c>
      <c r="B7" s="53" t="str">
        <f>IF(ISBLANK('Colaborad@r1'!$G$6),"",'Colaborad@r1'!$G$6)</f>
        <v>12345670C</v>
      </c>
      <c r="C7" s="53" t="str">
        <f>IF(ISBLANK('Colaborad@r1'!$C$7),"",'Colaborad@r1'!$C$7)</f>
        <v>ALGUIEN</v>
      </c>
      <c r="D7" s="53" t="str">
        <f>IF(ISBLANK('Colaborad@r1'!$C$8),"",'Colaborad@r1'!$C$8)</f>
        <v>ALGUIEN</v>
      </c>
      <c r="E7" s="53" t="str">
        <f>IF(ISBLANK('Colaborad@r1'!$C$9),"",'Colaborad@r1'!$C$9)</f>
        <v>MANUEL</v>
      </c>
      <c r="F7" s="53">
        <f>IF(ISBLANK('Colaborad@r1'!$G$6),"",'Colaborad@r1'!$J$19)</f>
        <v>100</v>
      </c>
      <c r="G7" s="53" t="str">
        <f>IF(B7="","","Colaborador/a")</f>
        <v>Colaborador/a</v>
      </c>
      <c r="H7" s="53" t="str">
        <f t="shared" si="0"/>
        <v>RECIBE BOLSA</v>
      </c>
    </row>
    <row r="8" spans="1:8" s="54" customFormat="1" ht="15" x14ac:dyDescent="0.25">
      <c r="A8" s="52">
        <v>4</v>
      </c>
      <c r="B8" s="53" t="str">
        <f>IF(ISBLANK('Colaborad@r2'!$G$6),"",'Colaborad@r2'!$G$6)</f>
        <v>12345679B</v>
      </c>
      <c r="C8" s="53" t="str">
        <f>IF(ISBLANK('Colaborad@r2'!$C$7),"",'Colaborad@r2'!$C$7)</f>
        <v>NADIE</v>
      </c>
      <c r="D8" s="53" t="str">
        <f>IF(ISBLANK('Colaborad@r2'!$C$8),"",'Colaborad@r2'!$C$8)</f>
        <v>NADIE</v>
      </c>
      <c r="E8" s="53" t="str">
        <f>IF(ISBLANK('Colaborad@r2'!$C$9),"",'Colaborad@r2'!$C$9)</f>
        <v>MARIA</v>
      </c>
      <c r="F8" s="53">
        <f>IF(ISBLANK('Colaborad@r2'!$G$6),"",'Colaborad@r2'!$J$19)</f>
        <v>0</v>
      </c>
      <c r="G8" s="53" t="str">
        <f>IF(B8="","","Colaborador/a")</f>
        <v>Colaborador/a</v>
      </c>
      <c r="H8" s="53" t="str">
        <f t="shared" si="0"/>
        <v>NO RECIBE BOLSA</v>
      </c>
    </row>
    <row r="9" spans="1:8" s="54" customFormat="1" ht="15" x14ac:dyDescent="0.25">
      <c r="A9" s="52">
        <v>5</v>
      </c>
      <c r="B9" s="53" t="str">
        <f>IF(ISBLANK('Colaborad@r3'!$G$6),"",'Colaborad@r3'!$G$6)</f>
        <v>12345678A</v>
      </c>
      <c r="C9" s="53" t="str">
        <f>IF(ISBLANK('Colaborad@r3'!$C$7),"",'Colaborad@r3'!$C$7)</f>
        <v>EJEMPLO</v>
      </c>
      <c r="D9" s="53" t="str">
        <f>IF(ISBLANK('Colaborad@r3'!$C$8),"",'Colaborad@r3'!$C$8)</f>
        <v>EJEMPLO</v>
      </c>
      <c r="E9" s="53" t="str">
        <f>IF(ISBLANK('Colaborad@r3'!$C$9),"",'Colaborad@r3'!$C$9)</f>
        <v>JUAN</v>
      </c>
      <c r="F9" s="53">
        <f>IF(ISBLANK('Colaborad@r3'!$G$6),"",'Colaborad@r3'!$J$19)</f>
        <v>100</v>
      </c>
      <c r="G9" s="53" t="str">
        <f t="shared" ref="G9:G53" si="1">IF(B9="","","Colaborador/a")</f>
        <v>Colaborador/a</v>
      </c>
      <c r="H9" s="53" t="str">
        <f t="shared" si="0"/>
        <v>RECIBE BOLSA</v>
      </c>
    </row>
    <row r="10" spans="1:8" s="54" customFormat="1" ht="15" x14ac:dyDescent="0.25">
      <c r="A10" s="52">
        <v>6</v>
      </c>
      <c r="B10" s="53" t="str">
        <f>IF(ISBLANK('Colaborad@r4'!$G$6),"",'Colaborad@r4'!$G$6)</f>
        <v/>
      </c>
      <c r="C10" s="53" t="str">
        <f>IF(ISBLANK('Colaborad@r4'!$C$7),"",'Colaborad@r4'!$C$7)</f>
        <v/>
      </c>
      <c r="D10" s="53" t="str">
        <f>IF(ISBLANK('Colaborad@r4'!$C$8),"",'Colaborad@r4'!$C$8)</f>
        <v/>
      </c>
      <c r="E10" s="53" t="str">
        <f>IF(ISBLANK('Colaborad@r4'!$C$9),"",'Colaborad@r4'!$C$9)</f>
        <v/>
      </c>
      <c r="F10" s="53" t="str">
        <f>IF(ISBLANK('Colaborad@r4'!$G$6),"",'Colaborad@r4'!$J$19)</f>
        <v/>
      </c>
      <c r="G10" s="53" t="str">
        <f t="shared" si="1"/>
        <v/>
      </c>
      <c r="H10" s="53" t="str">
        <f t="shared" si="0"/>
        <v/>
      </c>
    </row>
    <row r="11" spans="1:8" s="54" customFormat="1" ht="15" x14ac:dyDescent="0.25">
      <c r="A11" s="52">
        <v>7</v>
      </c>
      <c r="B11" s="53" t="str">
        <f>IF(ISBLANK('Colaborad@r5'!$G$6),"",'Colaborad@r5'!$G$6)</f>
        <v/>
      </c>
      <c r="C11" s="53" t="str">
        <f>IF(ISBLANK('Colaborad@r5'!$C$7),"",'Colaborad@r5'!$C$7)</f>
        <v/>
      </c>
      <c r="D11" s="53" t="str">
        <f>IF(ISBLANK('Colaborad@r5'!$C$8),"",'Colaborad@r5'!$C$8)</f>
        <v/>
      </c>
      <c r="E11" s="53" t="str">
        <f>IF(ISBLANK('Colaborad@r5'!$C$9),"",'Colaborad@r5'!$C$9)</f>
        <v/>
      </c>
      <c r="F11" s="53" t="str">
        <f>IF(ISBLANK('Colaborad@r5'!$G$6),"",'Colaborad@r5'!$J$19)</f>
        <v/>
      </c>
      <c r="G11" s="53" t="str">
        <f t="shared" si="1"/>
        <v/>
      </c>
      <c r="H11" s="53" t="str">
        <f t="shared" si="0"/>
        <v/>
      </c>
    </row>
    <row r="12" spans="1:8" s="54" customFormat="1" ht="15" x14ac:dyDescent="0.25">
      <c r="A12" s="52">
        <v>8</v>
      </c>
      <c r="B12" s="53" t="str">
        <f>IF(ISBLANK('Colaborad@r6'!$G$6),"",'Colaborad@r6'!$G$6)</f>
        <v/>
      </c>
      <c r="C12" s="53" t="str">
        <f>IF(ISBLANK('Colaborad@r6'!$C$7),"",'Colaborad@r6'!$C$7)</f>
        <v/>
      </c>
      <c r="D12" s="53" t="str">
        <f>IF(ISBLANK('Colaborad@r6'!$C$8),"",'Colaborad@r6'!$C$8)</f>
        <v/>
      </c>
      <c r="E12" s="53" t="str">
        <f>IF(ISBLANK('Colaborad@r6'!$C$9),"",'Colaborad@r6'!$C$9)</f>
        <v/>
      </c>
      <c r="F12" s="53" t="str">
        <f>IF(ISBLANK('Colaborad@r6'!$G$6),"",'Colaborad@r6'!$J$19)</f>
        <v/>
      </c>
      <c r="G12" s="53" t="str">
        <f t="shared" si="1"/>
        <v/>
      </c>
      <c r="H12" s="53" t="str">
        <f t="shared" si="0"/>
        <v/>
      </c>
    </row>
    <row r="13" spans="1:8" s="54" customFormat="1" ht="15" x14ac:dyDescent="0.25">
      <c r="A13" s="52">
        <v>9</v>
      </c>
      <c r="B13" s="53" t="str">
        <f>IF(ISBLANK('Colaborad@r7'!$G$6),"",'Colaborad@r7'!$G$6)</f>
        <v/>
      </c>
      <c r="C13" s="53" t="str">
        <f>IF(ISBLANK('Colaborad@r7'!$C$7),"",'Colaborad@r7'!$C$7)</f>
        <v/>
      </c>
      <c r="D13" s="53" t="str">
        <f>IF(ISBLANK('Colaborad@r7'!$C$8),"",'Colaborad@r7'!$C$8)</f>
        <v/>
      </c>
      <c r="E13" s="53" t="str">
        <f>IF(ISBLANK('Colaborad@r7'!$C$9),"",'Colaborad@r7'!$C$9)</f>
        <v/>
      </c>
      <c r="F13" s="53" t="str">
        <f>IF(ISBLANK('Colaborad@r7'!$G$6),"",'Colaborad@r7'!$J$19)</f>
        <v/>
      </c>
      <c r="G13" s="53" t="str">
        <f t="shared" si="1"/>
        <v/>
      </c>
      <c r="H13" s="53" t="str">
        <f t="shared" si="0"/>
        <v/>
      </c>
    </row>
    <row r="14" spans="1:8" s="54" customFormat="1" ht="15" x14ac:dyDescent="0.25">
      <c r="A14" s="52">
        <v>10</v>
      </c>
      <c r="B14" s="53" t="str">
        <f>IF(ISBLANK('Colaborad@r8'!$G$6),"",'Colaborad@r8'!$G$6)</f>
        <v/>
      </c>
      <c r="C14" s="53" t="str">
        <f>IF(ISBLANK('Colaborad@r8'!$C$7),"",'Colaborad@r8'!$C$7)</f>
        <v/>
      </c>
      <c r="D14" s="53" t="str">
        <f>IF(ISBLANK('Colaborad@r8'!$C$8),"",'Colaborad@r8'!$C$8)</f>
        <v/>
      </c>
      <c r="E14" s="53" t="str">
        <f>IF(ISBLANK('Colaborad@r8'!$C$9),"",'Colaborad@r8'!$C$9)</f>
        <v/>
      </c>
      <c r="F14" s="53" t="str">
        <f>IF(ISBLANK('Colaborad@r8'!$G$6),"",'Colaborad@r8'!$J$19)</f>
        <v/>
      </c>
      <c r="G14" s="53" t="str">
        <f t="shared" si="1"/>
        <v/>
      </c>
      <c r="H14" s="53" t="str">
        <f t="shared" si="0"/>
        <v/>
      </c>
    </row>
    <row r="15" spans="1:8" s="54" customFormat="1" ht="15" x14ac:dyDescent="0.25">
      <c r="A15" s="52">
        <v>11</v>
      </c>
      <c r="B15" s="53" t="str">
        <f>IF(ISBLANK('Colaborad@r9'!$G$6),"",'Colaborad@r9'!$G$6)</f>
        <v/>
      </c>
      <c r="C15" s="53" t="str">
        <f>IF(ISBLANK('Colaborad@r9'!$C$7),"",'Colaborad@r9'!$C$7)</f>
        <v/>
      </c>
      <c r="D15" s="53" t="str">
        <f>IF(ISBLANK('Colaborad@r9'!$C$8),"",'Colaborad@r9'!$C$8)</f>
        <v/>
      </c>
      <c r="E15" s="53" t="str">
        <f>IF(ISBLANK('Colaborad@r9'!$C$9),"",'Colaborad@r9'!$C$9)</f>
        <v/>
      </c>
      <c r="F15" s="53" t="str">
        <f>IF(ISBLANK('Colaborad@r9'!$G$6),"",'Colaborad@r9'!$J$19)</f>
        <v/>
      </c>
      <c r="G15" s="53" t="str">
        <f t="shared" si="1"/>
        <v/>
      </c>
      <c r="H15" s="53" t="str">
        <f t="shared" si="0"/>
        <v/>
      </c>
    </row>
    <row r="16" spans="1:8" s="54" customFormat="1" ht="15" x14ac:dyDescent="0.25">
      <c r="A16" s="52">
        <v>12</v>
      </c>
      <c r="B16" s="53" t="str">
        <f>IF(ISBLANK('Colaborad@r10'!$G$6),"",'Colaborad@r10'!$G$6)</f>
        <v/>
      </c>
      <c r="C16" s="53" t="str">
        <f>IF(ISBLANK('Colaborad@r10'!$C$7),"",'Colaborad@r10'!$C$7)</f>
        <v/>
      </c>
      <c r="D16" s="53" t="str">
        <f>IF(ISBLANK('Colaborad@r10'!$C$8),"",'Colaborad@r10'!$C$8)</f>
        <v/>
      </c>
      <c r="E16" s="53" t="str">
        <f>IF(ISBLANK('Colaborad@r10'!$C$9),"",'Colaborad@r10'!$C$9)</f>
        <v/>
      </c>
      <c r="F16" s="53" t="str">
        <f>IF(ISBLANK('Colaborad@r10'!$G$6),"",'Colaborad@r11'!$J$19)</f>
        <v/>
      </c>
      <c r="G16" s="53" t="str">
        <f t="shared" si="1"/>
        <v/>
      </c>
      <c r="H16" s="53" t="str">
        <f t="shared" si="0"/>
        <v/>
      </c>
    </row>
    <row r="17" spans="1:8" s="54" customFormat="1" ht="15" x14ac:dyDescent="0.25">
      <c r="A17" s="52">
        <v>13</v>
      </c>
      <c r="B17" s="53" t="str">
        <f>IF(ISBLANK('Colaborad@r11'!$G$6),"",'Colaborad@r11'!$G$6)</f>
        <v/>
      </c>
      <c r="C17" s="53" t="str">
        <f>IF(ISBLANK('Colaborad@r11'!$C$7),"",'Colaborad@r11'!$C$7)</f>
        <v/>
      </c>
      <c r="D17" s="53" t="str">
        <f>IF(ISBLANK('Colaborad@r11'!$C$8),"",'Colaborad@r11'!$C$8)</f>
        <v/>
      </c>
      <c r="E17" s="53" t="str">
        <f>IF(ISBLANK('Colaborad@r11'!$C$9),"",'Colaborad@r11'!$C$9)</f>
        <v/>
      </c>
      <c r="F17" s="53" t="str">
        <f>IF(ISBLANK('Colaborad@r11'!$G$6),"",'Colaborad@r11'!$J$19)</f>
        <v/>
      </c>
      <c r="G17" s="53" t="str">
        <f t="shared" si="1"/>
        <v/>
      </c>
      <c r="H17" s="53" t="str">
        <f t="shared" si="0"/>
        <v/>
      </c>
    </row>
    <row r="18" spans="1:8" s="54" customFormat="1" ht="15" x14ac:dyDescent="0.25">
      <c r="A18" s="52">
        <v>14</v>
      </c>
      <c r="B18" s="53" t="str">
        <f>IF(ISBLANK('Colaborad@r12'!$G$6),"",'Colaborad@r12'!$G$6)</f>
        <v/>
      </c>
      <c r="C18" s="53" t="str">
        <f>IF(ISBLANK('Colaborad@r12'!$C$7),"",'Colaborad@r12'!$C$7)</f>
        <v/>
      </c>
      <c r="D18" s="53" t="str">
        <f>IF(ISBLANK('Colaborad@r12'!$C$8),"",'Colaborad@r12'!$C$8)</f>
        <v/>
      </c>
      <c r="E18" s="53" t="str">
        <f>IF(ISBLANK('Colaborad@r12'!$C$9),"",'Colaborad@r12'!$C$9)</f>
        <v/>
      </c>
      <c r="F18" s="53" t="str">
        <f>IF(ISBLANK('Colaborad@r12'!$G$6),"",'Colaborad@r12'!$J$19)</f>
        <v/>
      </c>
      <c r="G18" s="53" t="str">
        <f t="shared" si="1"/>
        <v/>
      </c>
      <c r="H18" s="53" t="str">
        <f t="shared" si="0"/>
        <v/>
      </c>
    </row>
    <row r="19" spans="1:8" s="54" customFormat="1" ht="15" x14ac:dyDescent="0.25">
      <c r="A19" s="52">
        <v>15</v>
      </c>
      <c r="B19" s="53" t="str">
        <f>IF(ISBLANK('Colaborad@r13'!$G$6),"",'Colaborad@r13'!$G$6)</f>
        <v/>
      </c>
      <c r="C19" s="53" t="str">
        <f>IF(ISBLANK('Colaborad@r13'!$C$7),"",'Colaborad@r13'!$C$7)</f>
        <v/>
      </c>
      <c r="D19" s="53" t="str">
        <f>IF(ISBLANK('Colaborad@r13'!$C$8),"",'Colaborad@r13'!$C$8)</f>
        <v/>
      </c>
      <c r="E19" s="53" t="str">
        <f>IF(ISBLANK('Colaborad@r13'!$C$9),"",'Colaborad@r13'!$C$9)</f>
        <v/>
      </c>
      <c r="F19" s="53" t="str">
        <f>IF(ISBLANK('Colaborad@r13'!$G$6),"",'Colaborad@r13'!$J$19)</f>
        <v/>
      </c>
      <c r="G19" s="53" t="str">
        <f t="shared" si="1"/>
        <v/>
      </c>
      <c r="H19" s="53" t="str">
        <f t="shared" si="0"/>
        <v/>
      </c>
    </row>
    <row r="20" spans="1:8" s="54" customFormat="1" ht="15" x14ac:dyDescent="0.25">
      <c r="A20" s="52">
        <v>16</v>
      </c>
      <c r="B20" s="53" t="str">
        <f>IF(ISBLANK('Colaborad@r14'!$G$6),"",'Colaborad@r14'!$G$6)</f>
        <v/>
      </c>
      <c r="C20" s="53" t="str">
        <f>IF(ISBLANK('Colaborad@r14'!$C$7),"",'Colaborad@r14'!$C$7)</f>
        <v/>
      </c>
      <c r="D20" s="53" t="str">
        <f>IF(ISBLANK('Colaborad@r14'!$C$8),"",'Colaborad@r14'!$C$8)</f>
        <v/>
      </c>
      <c r="E20" s="53" t="str">
        <f>IF(ISBLANK('Colaborad@r14'!$C$9),"",'Colaborad@r14'!$C$9)</f>
        <v/>
      </c>
      <c r="F20" s="53" t="str">
        <f>IF(ISBLANK('Colaborad@r14'!$G$6),"",'Colaborad@r14'!$J$19)</f>
        <v/>
      </c>
      <c r="G20" s="53" t="str">
        <f t="shared" si="1"/>
        <v/>
      </c>
      <c r="H20" s="53" t="str">
        <f t="shared" si="0"/>
        <v/>
      </c>
    </row>
    <row r="21" spans="1:8" s="54" customFormat="1" ht="15" x14ac:dyDescent="0.25">
      <c r="A21" s="52">
        <v>17</v>
      </c>
      <c r="B21" s="53" t="str">
        <f>IF(ISBLANK('Colaborad@r15'!$G$6),"",'Colaborad@r15'!$G$6)</f>
        <v/>
      </c>
      <c r="C21" s="53" t="str">
        <f>IF(ISBLANK('Colaborad@r15'!$C$7),"",'Colaborad@r15'!$C$7)</f>
        <v/>
      </c>
      <c r="D21" s="53" t="str">
        <f>IF(ISBLANK('Colaborad@r15'!$C$8),"",'Colaborad@r15'!$C$8)</f>
        <v/>
      </c>
      <c r="E21" s="53" t="str">
        <f>IF(ISBLANK('Colaborad@r15'!$C$9),"",'Colaborad@r15'!$C$9)</f>
        <v/>
      </c>
      <c r="F21" s="53" t="str">
        <f>IF(ISBLANK('Colaborad@r15'!$G$6),"",'Colaborad@r15'!$J$19)</f>
        <v/>
      </c>
      <c r="G21" s="53" t="str">
        <f t="shared" si="1"/>
        <v/>
      </c>
      <c r="H21" s="53" t="str">
        <f t="shared" si="0"/>
        <v/>
      </c>
    </row>
    <row r="22" spans="1:8" s="54" customFormat="1" ht="15" x14ac:dyDescent="0.25">
      <c r="A22" s="52">
        <v>18</v>
      </c>
      <c r="B22" s="53" t="str">
        <f>IF(ISBLANK('Colaborad@r16'!$G$6),"",'Colaborad@r16'!$G$6)</f>
        <v/>
      </c>
      <c r="C22" s="53" t="str">
        <f>IF(ISBLANK('Colaborad@r16'!$C$7),"",'Colaborad@r16'!$C$7)</f>
        <v/>
      </c>
      <c r="D22" s="53" t="str">
        <f>IF(ISBLANK('Colaborad@r16'!$C$8),"",'Colaborad@r16'!$C$8)</f>
        <v/>
      </c>
      <c r="E22" s="53" t="str">
        <f>IF(ISBLANK('Colaborad@r16'!$C$9),"",'Colaborad@r16'!$C$9)</f>
        <v/>
      </c>
      <c r="F22" s="53" t="str">
        <f>IF(ISBLANK('Colaborad@r16'!$G$6),"",'Colaborad@r16'!$J$19)</f>
        <v/>
      </c>
      <c r="G22" s="53" t="str">
        <f t="shared" si="1"/>
        <v/>
      </c>
      <c r="H22" s="53" t="str">
        <f t="shared" si="0"/>
        <v/>
      </c>
    </row>
    <row r="23" spans="1:8" s="54" customFormat="1" ht="15" x14ac:dyDescent="0.25">
      <c r="A23" s="52">
        <v>19</v>
      </c>
      <c r="B23" s="53" t="str">
        <f>IF(ISBLANK('Colaborad@r17'!$G$6),"",'Colaborad@r17'!$G$6)</f>
        <v/>
      </c>
      <c r="C23" s="53" t="str">
        <f>IF(ISBLANK('Colaborad@r17'!$C$7),"",'Colaborad@r17'!$C$7)</f>
        <v/>
      </c>
      <c r="D23" s="53" t="str">
        <f>IF(ISBLANK('Colaborad@r17'!$C$8),"",'Colaborad@r17'!$C$8)</f>
        <v/>
      </c>
      <c r="E23" s="53" t="str">
        <f>IF(ISBLANK('Colaborad@r17'!$C$9),"",'Colaborad@r17'!$C$9)</f>
        <v/>
      </c>
      <c r="F23" s="53" t="str">
        <f>IF(ISBLANK('Colaborad@r17'!$G$6),"",'Colaborad@r17'!$J$19)</f>
        <v/>
      </c>
      <c r="G23" s="53" t="str">
        <f t="shared" si="1"/>
        <v/>
      </c>
      <c r="H23" s="53" t="str">
        <f t="shared" si="0"/>
        <v/>
      </c>
    </row>
    <row r="24" spans="1:8" s="54" customFormat="1" ht="15" x14ac:dyDescent="0.25">
      <c r="A24" s="52">
        <v>20</v>
      </c>
      <c r="B24" s="53" t="str">
        <f>IF(ISBLANK('Colaborad@r18'!$G$6),"",'Colaborad@r18'!$G$6)</f>
        <v/>
      </c>
      <c r="C24" s="53" t="str">
        <f>IF(ISBLANK('Colaborad@r18'!$C$7),"",'Colaborad@r18'!$C$7)</f>
        <v/>
      </c>
      <c r="D24" s="53" t="str">
        <f>IF(ISBLANK('Colaborad@r18'!$C$8),"",'Colaborad@r18'!$C$8)</f>
        <v/>
      </c>
      <c r="E24" s="53" t="str">
        <f>IF(ISBLANK('Colaborad@r18'!$C$9),"",'Colaborad@r18'!$C$9)</f>
        <v/>
      </c>
      <c r="F24" s="53" t="str">
        <f>IF(ISBLANK('Colaborad@r18'!$G$6),"",'Colaborad@r18'!$J$19)</f>
        <v/>
      </c>
      <c r="G24" s="53" t="str">
        <f t="shared" si="1"/>
        <v/>
      </c>
      <c r="H24" s="53" t="str">
        <f t="shared" si="0"/>
        <v/>
      </c>
    </row>
    <row r="25" spans="1:8" s="54" customFormat="1" ht="15" x14ac:dyDescent="0.25">
      <c r="A25" s="52">
        <v>21</v>
      </c>
      <c r="B25" s="53" t="str">
        <f>IF(ISBLANK('Colaborad@r19'!$G$6),"",'Colaborad@r19'!$G$6)</f>
        <v/>
      </c>
      <c r="C25" s="53" t="str">
        <f>IF(ISBLANK('Colaborad@r19'!$C$7),"",'Colaborad@r19'!$C$7)</f>
        <v/>
      </c>
      <c r="D25" s="53" t="str">
        <f>IF(ISBLANK('Colaborad@r19'!$C$8),"",'Colaborad@r19'!$C$8)</f>
        <v/>
      </c>
      <c r="E25" s="53" t="str">
        <f>IF(ISBLANK('Colaborad@r19'!$C$9),"",'Colaborad@r19'!$C$9)</f>
        <v/>
      </c>
      <c r="F25" s="53" t="str">
        <f>IF(ISBLANK('Colaborad@r19'!$G$6),"",'Colaborad@r19'!$J$19)</f>
        <v/>
      </c>
      <c r="G25" s="53" t="str">
        <f t="shared" si="1"/>
        <v/>
      </c>
      <c r="H25" s="53" t="str">
        <f t="shared" si="0"/>
        <v/>
      </c>
    </row>
    <row r="26" spans="1:8" s="54" customFormat="1" ht="15" x14ac:dyDescent="0.25">
      <c r="A26" s="52">
        <v>22</v>
      </c>
      <c r="B26" s="53" t="str">
        <f>IF(ISBLANK('Colaborad@r20'!$G$6),"",'Colaborad@r20'!$G$6)</f>
        <v/>
      </c>
      <c r="C26" s="53" t="str">
        <f>IF(ISBLANK('Colaborad@r20'!$C$7),"",'Colaborad@r20'!$C$7)</f>
        <v/>
      </c>
      <c r="D26" s="53" t="str">
        <f>IF(ISBLANK('Colaborad@r20'!$C$8),"",'Colaborad@r20'!$C$8)</f>
        <v/>
      </c>
      <c r="E26" s="53" t="str">
        <f>IF(ISBLANK('Colaborad@r20'!$C$9),"",'Colaborad@r20'!$C$9)</f>
        <v/>
      </c>
      <c r="F26" s="53" t="str">
        <f>IF(ISBLANK('Colaborad@r20'!$G$6),"",'Colaborad@r20'!$J$19)</f>
        <v/>
      </c>
      <c r="G26" s="53" t="str">
        <f t="shared" si="1"/>
        <v/>
      </c>
      <c r="H26" s="53" t="str">
        <f t="shared" si="0"/>
        <v/>
      </c>
    </row>
    <row r="27" spans="1:8" s="54" customFormat="1" ht="15" x14ac:dyDescent="0.25">
      <c r="A27" s="52">
        <v>23</v>
      </c>
      <c r="B27" s="53" t="str">
        <f>IF(ISBLANK('Colaborad@r21'!$G$6),"",'Colaborad@r21'!$G$6)</f>
        <v/>
      </c>
      <c r="C27" s="53" t="str">
        <f>IF(ISBLANK('Colaborad@r21'!$C$7),"",'Colaborad@r21'!$C$7)</f>
        <v/>
      </c>
      <c r="D27" s="53" t="str">
        <f>IF(ISBLANK('Colaborad@r21'!$C$8),"",'Colaborad@r21'!$C$8)</f>
        <v/>
      </c>
      <c r="E27" s="53" t="str">
        <f>IF(ISBLANK('Colaborad@r21'!$C$9),"",'Colaborad@r21'!$C$9)</f>
        <v/>
      </c>
      <c r="F27" s="53" t="str">
        <f>IF(ISBLANK('Colaborad@r21'!$G$6),"",'Colaborad@r21'!$J$19)</f>
        <v/>
      </c>
      <c r="G27" s="53" t="str">
        <f t="shared" si="1"/>
        <v/>
      </c>
      <c r="H27" s="53" t="str">
        <f t="shared" si="0"/>
        <v/>
      </c>
    </row>
    <row r="28" spans="1:8" s="54" customFormat="1" ht="15" x14ac:dyDescent="0.25">
      <c r="A28" s="52">
        <v>24</v>
      </c>
      <c r="B28" s="53" t="str">
        <f>IF(ISBLANK('Colaborad@r22'!$G$6),"",'Colaborad@r22'!$G$6)</f>
        <v/>
      </c>
      <c r="C28" s="53" t="str">
        <f>IF(ISBLANK('Colaborad@r22'!$C$7),"",'Colaborad@r22'!$C$7)</f>
        <v/>
      </c>
      <c r="D28" s="53" t="str">
        <f>IF(ISBLANK('Colaborad@r22'!$C$8),"",'Colaborad@r22'!$C$8)</f>
        <v/>
      </c>
      <c r="E28" s="53" t="str">
        <f>IF(ISBLANK('Colaborad@r22'!$C$9),"",'Colaborad@r22'!$C$9)</f>
        <v/>
      </c>
      <c r="F28" s="53" t="str">
        <f>IF(ISBLANK('Colaborad@r22'!$G$6),"",'Colaborad@r22'!$J$19)</f>
        <v/>
      </c>
      <c r="G28" s="53" t="str">
        <f t="shared" si="1"/>
        <v/>
      </c>
      <c r="H28" s="53" t="str">
        <f t="shared" si="0"/>
        <v/>
      </c>
    </row>
    <row r="29" spans="1:8" s="54" customFormat="1" ht="15" x14ac:dyDescent="0.25">
      <c r="A29" s="52">
        <v>25</v>
      </c>
      <c r="B29" s="53" t="str">
        <f>IF(ISBLANK('Colaborad@r23'!$G$6),"",'Colaborad@r23'!$G$6)</f>
        <v/>
      </c>
      <c r="C29" s="53" t="str">
        <f>IF(ISBLANK('Colaborad@r23'!$C$7),"",'Colaborad@r23'!$C$7)</f>
        <v/>
      </c>
      <c r="D29" s="53" t="str">
        <f>IF(ISBLANK('Colaborad@r23'!$C$8),"",'Colaborad@r23'!$C$8)</f>
        <v/>
      </c>
      <c r="E29" s="53" t="str">
        <f>IF(ISBLANK('Colaborad@r23'!$C$9),"",'Colaborad@r23'!$C$9)</f>
        <v/>
      </c>
      <c r="F29" s="53" t="str">
        <f>IF(ISBLANK('Colaborad@r23'!$G$6),"",'Colaborad@r23'!$J$19)</f>
        <v/>
      </c>
      <c r="G29" s="53" t="str">
        <f t="shared" si="1"/>
        <v/>
      </c>
      <c r="H29" s="53" t="str">
        <f t="shared" si="0"/>
        <v/>
      </c>
    </row>
    <row r="30" spans="1:8" s="54" customFormat="1" ht="15" x14ac:dyDescent="0.25">
      <c r="A30" s="52">
        <v>26</v>
      </c>
      <c r="B30" s="53" t="str">
        <f>IF(ISBLANK('Colaborad@r24'!$G$6),"",'Colaborad@r24'!$G$6)</f>
        <v/>
      </c>
      <c r="C30" s="53" t="str">
        <f>IF(ISBLANK('Colaborad@r24'!$C$7),"",'Colaborad@r24'!$C$7)</f>
        <v/>
      </c>
      <c r="D30" s="53" t="str">
        <f>IF(ISBLANK('Colaborad@r24'!$C$8),"",'Colaborad@r24'!$C$8)</f>
        <v/>
      </c>
      <c r="E30" s="53" t="str">
        <f>IF(ISBLANK('Colaborad@r24'!$C$9),"",'Colaborad@r24'!$C$9)</f>
        <v/>
      </c>
      <c r="F30" s="53" t="str">
        <f>IF(ISBLANK('Colaborad@r24'!$G$6),"",'Colaborad@r24'!$J$19)</f>
        <v/>
      </c>
      <c r="G30" s="53" t="str">
        <f t="shared" si="1"/>
        <v/>
      </c>
      <c r="H30" s="53" t="str">
        <f t="shared" si="0"/>
        <v/>
      </c>
    </row>
    <row r="31" spans="1:8" s="54" customFormat="1" ht="15" x14ac:dyDescent="0.25">
      <c r="A31" s="52">
        <v>27</v>
      </c>
      <c r="B31" s="53" t="str">
        <f>IF(ISBLANK('Colaborad@r25'!$G$6),"",'Colaborad@r25'!$G$6)</f>
        <v/>
      </c>
      <c r="C31" s="53" t="str">
        <f>IF(ISBLANK('Colaborad@r25'!$C$7),"",'Colaborad@r25'!$C$7)</f>
        <v/>
      </c>
      <c r="D31" s="53" t="str">
        <f>IF(ISBLANK('Colaborad@r25'!$C$8),"",'Colaborad@r25'!$C$8)</f>
        <v/>
      </c>
      <c r="E31" s="53" t="str">
        <f>IF(ISBLANK('Colaborad@r25'!$C$9),"",'Colaborad@r25'!$C$9)</f>
        <v/>
      </c>
      <c r="F31" s="53" t="str">
        <f>IF(ISBLANK('Colaborad@r25'!$G$6),"",'Colaborad@r25'!$J$19)</f>
        <v/>
      </c>
      <c r="G31" s="53" t="str">
        <f t="shared" si="1"/>
        <v/>
      </c>
      <c r="H31" s="53" t="str">
        <f t="shared" si="0"/>
        <v/>
      </c>
    </row>
    <row r="32" spans="1:8" s="54" customFormat="1" ht="15" x14ac:dyDescent="0.25">
      <c r="A32" s="52">
        <v>28</v>
      </c>
      <c r="B32" s="53" t="str">
        <f>IF(ISBLANK('Colaborad@r26'!$G$6),"",'Colaborad@r26'!$G$6)</f>
        <v/>
      </c>
      <c r="C32" s="53" t="str">
        <f>IF(ISBLANK('Colaborad@r26'!$C$7),"",'Colaborad@r26'!$C$7)</f>
        <v/>
      </c>
      <c r="D32" s="53" t="str">
        <f>IF(ISBLANK('Colaborad@r26'!$C$8),"",'Colaborad@r26'!$C$8)</f>
        <v/>
      </c>
      <c r="E32" s="53" t="str">
        <f>IF(ISBLANK('Colaborad@r26'!$C$9),"",'Colaborad@r26'!$C$9)</f>
        <v/>
      </c>
      <c r="F32" s="53" t="str">
        <f>IF(ISBLANK('Colaborad@r26'!$G$6),"",'Colaborad@r26'!$J$19)</f>
        <v/>
      </c>
      <c r="G32" s="53" t="str">
        <f t="shared" si="1"/>
        <v/>
      </c>
      <c r="H32" s="53" t="str">
        <f t="shared" si="0"/>
        <v/>
      </c>
    </row>
    <row r="33" spans="1:8" s="54" customFormat="1" ht="15" x14ac:dyDescent="0.25">
      <c r="A33" s="52">
        <v>29</v>
      </c>
      <c r="B33" s="53" t="str">
        <f>IF(ISBLANK('Colaborad@r27'!$G$6),"",'Colaborad@r27'!$G$6)</f>
        <v/>
      </c>
      <c r="C33" s="53" t="str">
        <f>IF(ISBLANK('Colaborad@r27'!$C$7),"",'Colaborad@r27'!$C$7)</f>
        <v/>
      </c>
      <c r="D33" s="53" t="str">
        <f>IF(ISBLANK('Colaborad@r27'!$C$8),"",'Colaborad@r27'!$C$8)</f>
        <v/>
      </c>
      <c r="E33" s="53" t="str">
        <f>IF(ISBLANK('Colaborad@r27'!$C$9),"",'Colaborad@r27'!$C$9)</f>
        <v/>
      </c>
      <c r="F33" s="53" t="str">
        <f>IF(ISBLANK('Colaborad@r27'!$G$6),"",'Colaborad@r27'!$J$19)</f>
        <v/>
      </c>
      <c r="G33" s="53" t="str">
        <f t="shared" si="1"/>
        <v/>
      </c>
      <c r="H33" s="53" t="str">
        <f t="shared" si="0"/>
        <v/>
      </c>
    </row>
    <row r="34" spans="1:8" s="54" customFormat="1" ht="15" x14ac:dyDescent="0.25">
      <c r="A34" s="52">
        <v>30</v>
      </c>
      <c r="B34" s="53" t="str">
        <f>IF(ISBLANK('Colaborad@r28'!$G$6),"",'Colaborad@r28'!$G$6)</f>
        <v/>
      </c>
      <c r="C34" s="53" t="str">
        <f>IF(ISBLANK('Colaborad@r28'!$C$7),"",'Colaborad@r28'!$C$7)</f>
        <v/>
      </c>
      <c r="D34" s="53" t="str">
        <f>IF(ISBLANK('Colaborad@r28'!$C$8),"",'Colaborad@r28'!$C$8)</f>
        <v/>
      </c>
      <c r="E34" s="53" t="str">
        <f>IF(ISBLANK('Colaborad@r28'!$C$9),"",'Colaborad@r28'!$C$9)</f>
        <v/>
      </c>
      <c r="F34" s="53" t="str">
        <f>IF(ISBLANK('Colaborad@r28'!$G$6),"",'Colaborad@r28'!$J$19)</f>
        <v/>
      </c>
      <c r="G34" s="53" t="str">
        <f t="shared" si="1"/>
        <v/>
      </c>
      <c r="H34" s="53" t="str">
        <f t="shared" si="0"/>
        <v/>
      </c>
    </row>
    <row r="35" spans="1:8" s="54" customFormat="1" ht="15" x14ac:dyDescent="0.25">
      <c r="A35" s="52">
        <v>31</v>
      </c>
      <c r="B35" s="53" t="str">
        <f>IF(ISBLANK('Colaborad@r29'!$G$6),"",'Colaborad@r29'!$G$6)</f>
        <v/>
      </c>
      <c r="C35" s="53" t="str">
        <f>IF(ISBLANK('Colaborad@r29'!$C$7),"",'Colaborad@r29'!$C$7)</f>
        <v/>
      </c>
      <c r="D35" s="53" t="str">
        <f>IF(ISBLANK('Colaborad@r29'!$C$8),"",'Colaborad@r29'!$C$8)</f>
        <v/>
      </c>
      <c r="E35" s="53" t="str">
        <f>IF(ISBLANK('Colaborad@r29'!$C$9),"",'Colaborad@r29'!$C$9)</f>
        <v/>
      </c>
      <c r="F35" s="53" t="str">
        <f>IF(ISBLANK('Colaborad@r29'!$G$6),"",'Colaborad@r29'!$J$19)</f>
        <v/>
      </c>
      <c r="G35" s="53" t="str">
        <f t="shared" si="1"/>
        <v/>
      </c>
      <c r="H35" s="53" t="str">
        <f t="shared" si="0"/>
        <v/>
      </c>
    </row>
    <row r="36" spans="1:8" s="54" customFormat="1" ht="15" x14ac:dyDescent="0.25">
      <c r="A36" s="52">
        <v>32</v>
      </c>
      <c r="B36" s="53" t="str">
        <f>IF(ISBLANK('Colaborad@r30'!$G$6),"",'Colaborad@r30'!$G$6)</f>
        <v/>
      </c>
      <c r="C36" s="53" t="str">
        <f>IF(ISBLANK('Colaborad@r30'!$C$7),"",'Colaborad@r30'!$C$7)</f>
        <v/>
      </c>
      <c r="D36" s="53" t="str">
        <f>IF(ISBLANK('Colaborad@r30'!$C$8),"",'Colaborad@r30'!$C$8)</f>
        <v/>
      </c>
      <c r="E36" s="53" t="str">
        <f>IF(ISBLANK('Colaborad@r30'!$C$9),"",'Colaborad@r30'!$C$9)</f>
        <v/>
      </c>
      <c r="F36" s="53" t="str">
        <f>IF(ISBLANK('Colaborad@r30'!$G$6),"",'Colaborad@r30'!$J$19)</f>
        <v/>
      </c>
      <c r="G36" s="53" t="str">
        <f t="shared" si="1"/>
        <v/>
      </c>
      <c r="H36" s="53" t="str">
        <f t="shared" si="0"/>
        <v/>
      </c>
    </row>
    <row r="37" spans="1:8" s="54" customFormat="1" ht="15" x14ac:dyDescent="0.25">
      <c r="A37" s="52">
        <v>33</v>
      </c>
      <c r="B37" s="53" t="str">
        <f>IF(ISBLANK('Colaborad@r31'!$G$6),"",'Colaborad@r31'!$G$6)</f>
        <v/>
      </c>
      <c r="C37" s="53" t="str">
        <f>IF(ISBLANK('Colaborad@r31'!$C$7),"",'Colaborad@r31'!$C$7)</f>
        <v/>
      </c>
      <c r="D37" s="53" t="str">
        <f>IF(ISBLANK('Colaborad@r31'!$C$8),"",'Colaborad@r31'!$C$8)</f>
        <v/>
      </c>
      <c r="E37" s="53" t="str">
        <f>IF(ISBLANK('Colaborad@r31'!$C$9),"",'Colaborad@r31'!$C$9)</f>
        <v/>
      </c>
      <c r="F37" s="53" t="str">
        <f>IF(ISBLANK('Colaborad@r31'!$G$6),"",'Colaborad@r31'!$J$19)</f>
        <v/>
      </c>
      <c r="G37" s="53" t="str">
        <f t="shared" si="1"/>
        <v/>
      </c>
      <c r="H37" s="53" t="str">
        <f t="shared" si="0"/>
        <v/>
      </c>
    </row>
    <row r="38" spans="1:8" s="54" customFormat="1" ht="15" x14ac:dyDescent="0.25">
      <c r="A38" s="52">
        <v>34</v>
      </c>
      <c r="B38" s="53" t="str">
        <f>IF(ISBLANK('Colaborad@r32'!$G$6),"",'Colaborad@r32'!$G$6)</f>
        <v/>
      </c>
      <c r="C38" s="53" t="str">
        <f>IF(ISBLANK('Colaborad@r32'!$C$7),"",'Colaborad@r32'!$C$7)</f>
        <v/>
      </c>
      <c r="D38" s="53" t="str">
        <f>IF(ISBLANK('Colaborad@r32'!$C$8),"",'Colaborad@r32'!$C$8)</f>
        <v/>
      </c>
      <c r="E38" s="53" t="str">
        <f>IF(ISBLANK('Colaborad@r32'!$C$9),"",'Colaborad@r32'!$C$9)</f>
        <v/>
      </c>
      <c r="F38" s="53" t="str">
        <f>IF(ISBLANK('Colaborad@r32'!$G$6),"",'Colaborad@r32'!$J$19)</f>
        <v/>
      </c>
      <c r="G38" s="53" t="str">
        <f t="shared" si="1"/>
        <v/>
      </c>
      <c r="H38" s="53" t="str">
        <f t="shared" si="0"/>
        <v/>
      </c>
    </row>
    <row r="39" spans="1:8" s="54" customFormat="1" ht="15" x14ac:dyDescent="0.25">
      <c r="A39" s="52">
        <v>35</v>
      </c>
      <c r="B39" s="53" t="str">
        <f>IF(ISBLANK('Colaborad@r33'!$G$6),"",'Colaborad@r33'!$G$6)</f>
        <v/>
      </c>
      <c r="C39" s="53" t="str">
        <f>IF(ISBLANK('Colaborad@r33'!$C$7),"",'Colaborad@r33'!$C$7)</f>
        <v/>
      </c>
      <c r="D39" s="53" t="str">
        <f>IF(ISBLANK('Colaborad@r33'!$C$8),"",'Colaborad@r33'!$C$8)</f>
        <v/>
      </c>
      <c r="E39" s="53" t="str">
        <f>IF(ISBLANK('Colaborad@r33'!$C$9),"",'Colaborad@r33'!$C$9)</f>
        <v/>
      </c>
      <c r="F39" s="53" t="str">
        <f>IF(ISBLANK('Colaborad@r33'!$G$6),"",'Colaborad@r33'!$J$19)</f>
        <v/>
      </c>
      <c r="G39" s="53" t="str">
        <f t="shared" si="1"/>
        <v/>
      </c>
      <c r="H39" s="53" t="str">
        <f t="shared" si="0"/>
        <v/>
      </c>
    </row>
    <row r="40" spans="1:8" s="54" customFormat="1" ht="15" x14ac:dyDescent="0.25">
      <c r="A40" s="52">
        <v>36</v>
      </c>
      <c r="B40" s="53" t="str">
        <f>IF(ISBLANK('Colaborad@r34'!$G$6),"",'Colaborad@r34'!$G$6)</f>
        <v/>
      </c>
      <c r="C40" s="53" t="str">
        <f>IF(ISBLANK('Colaborad@r34'!$C$7),"",'Colaborad@r34'!$C$7)</f>
        <v/>
      </c>
      <c r="D40" s="53" t="str">
        <f>IF(ISBLANK('Colaborad@r34'!$C$8),"",'Colaborad@r34'!$C$8)</f>
        <v/>
      </c>
      <c r="E40" s="53" t="str">
        <f>IF(ISBLANK('Colaborad@r34'!$C$9),"",'Colaborad@r34'!$C$9)</f>
        <v/>
      </c>
      <c r="F40" s="53" t="str">
        <f>IF(ISBLANK('Colaborad@r34'!$G$6),"",'Colaborad@r34'!$J$19)</f>
        <v/>
      </c>
      <c r="G40" s="53" t="str">
        <f t="shared" si="1"/>
        <v/>
      </c>
      <c r="H40" s="53" t="str">
        <f t="shared" si="0"/>
        <v/>
      </c>
    </row>
    <row r="41" spans="1:8" s="54" customFormat="1" ht="15" x14ac:dyDescent="0.25">
      <c r="A41" s="52">
        <v>37</v>
      </c>
      <c r="B41" s="53" t="str">
        <f>IF(ISBLANK('Colaborad@r35'!$G$6),"",'Colaborad@r35'!$G$6)</f>
        <v/>
      </c>
      <c r="C41" s="53" t="str">
        <f>IF(ISBLANK('Colaborad@r35'!$C$7),"",'Colaborad@r35'!$C$7)</f>
        <v/>
      </c>
      <c r="D41" s="53" t="str">
        <f>IF(ISBLANK('Colaborad@r35'!$C$8),"",'Colaborad@r35'!$C$8)</f>
        <v/>
      </c>
      <c r="E41" s="53" t="str">
        <f>IF(ISBLANK('Colaborad@r35'!$C$9),"",'Colaborad@r35'!$C$9)</f>
        <v/>
      </c>
      <c r="F41" s="53" t="str">
        <f>IF(ISBLANK('Colaborad@r35'!$G$6),"",'Colaborad@r35'!$J$19)</f>
        <v/>
      </c>
      <c r="G41" s="53" t="str">
        <f t="shared" si="1"/>
        <v/>
      </c>
      <c r="H41" s="53" t="str">
        <f t="shared" si="0"/>
        <v/>
      </c>
    </row>
    <row r="42" spans="1:8" s="54" customFormat="1" ht="15" x14ac:dyDescent="0.25">
      <c r="A42" s="52">
        <v>38</v>
      </c>
      <c r="B42" s="53" t="str">
        <f>IF(ISBLANK('Colaborad@r36'!$G$6),"",'Colaborad@r36'!$G$6)</f>
        <v/>
      </c>
      <c r="C42" s="53" t="str">
        <f>IF(ISBLANK('Colaborad@r36'!$C$7),"",'Colaborad@r36'!$C$7)</f>
        <v/>
      </c>
      <c r="D42" s="53" t="str">
        <f>IF(ISBLANK('Colaborad@r36'!$C$8),"",'Colaborad@r36'!$C$8)</f>
        <v/>
      </c>
      <c r="E42" s="53" t="str">
        <f>IF(ISBLANK('Colaborad@r36'!$C$9),"",'Colaborad@r36'!$C$9)</f>
        <v/>
      </c>
      <c r="F42" s="53" t="str">
        <f>IF(ISBLANK('Colaborad@r36'!$G$6),"",'Colaborad@r36'!$J$19)</f>
        <v/>
      </c>
      <c r="G42" s="53" t="str">
        <f t="shared" si="1"/>
        <v/>
      </c>
      <c r="H42" s="53" t="str">
        <f t="shared" si="0"/>
        <v/>
      </c>
    </row>
    <row r="43" spans="1:8" s="54" customFormat="1" ht="15" x14ac:dyDescent="0.25">
      <c r="A43" s="52">
        <v>39</v>
      </c>
      <c r="B43" s="53" t="str">
        <f>IF(ISBLANK('Colaborad@r37'!$G$6),"",'Colaborad@r37'!$G$6)</f>
        <v/>
      </c>
      <c r="C43" s="53" t="str">
        <f>IF(ISBLANK('Colaborad@r37'!$C$7),"",'Colaborad@r37'!$C$7)</f>
        <v/>
      </c>
      <c r="D43" s="53" t="str">
        <f>IF(ISBLANK('Colaborad@r37'!$C$8),"",'Colaborad@r37'!$C$8)</f>
        <v/>
      </c>
      <c r="E43" s="53" t="str">
        <f>IF(ISBLANK('Colaborad@r37'!$C$9),"",'Colaborad@r37'!$C$9)</f>
        <v/>
      </c>
      <c r="F43" s="53" t="str">
        <f>IF(ISBLANK('Colaborad@r37'!$G$6),"",'Colaborad@r37'!$J$19)</f>
        <v/>
      </c>
      <c r="G43" s="53" t="str">
        <f t="shared" si="1"/>
        <v/>
      </c>
      <c r="H43" s="53" t="str">
        <f t="shared" si="0"/>
        <v/>
      </c>
    </row>
    <row r="44" spans="1:8" s="54" customFormat="1" ht="15" x14ac:dyDescent="0.25">
      <c r="A44" s="52">
        <v>40</v>
      </c>
      <c r="B44" s="53" t="str">
        <f>IF(ISBLANK('Colaborad@r38'!$G$6),"",'Colaborad@r38'!$G$6)</f>
        <v/>
      </c>
      <c r="C44" s="53" t="str">
        <f>IF(ISBLANK('Colaborad@r38'!$C$7),"",'Colaborad@r38'!$C$7)</f>
        <v/>
      </c>
      <c r="D44" s="53" t="str">
        <f>IF(ISBLANK('Colaborad@r38'!$C$8),"",'Colaborad@r38'!$C$8)</f>
        <v/>
      </c>
      <c r="E44" s="53" t="str">
        <f>IF(ISBLANK('Colaborad@r38'!$C$9),"",'Colaborad@r38'!$C$9)</f>
        <v/>
      </c>
      <c r="F44" s="53" t="str">
        <f>IF(ISBLANK('Colaborad@r38'!$G$6),"",'Colaborad@r38'!$J$19)</f>
        <v/>
      </c>
      <c r="G44" s="53" t="str">
        <f t="shared" si="1"/>
        <v/>
      </c>
      <c r="H44" s="53" t="str">
        <f t="shared" si="0"/>
        <v/>
      </c>
    </row>
    <row r="45" spans="1:8" s="54" customFormat="1" ht="15" x14ac:dyDescent="0.25">
      <c r="A45" s="52">
        <v>41</v>
      </c>
      <c r="B45" s="53" t="str">
        <f>IF(ISBLANK('Colaborad@r39'!$G$6),"",'Colaborad@r39'!$G$6)</f>
        <v/>
      </c>
      <c r="C45" s="53" t="str">
        <f>IF(ISBLANK('Colaborad@r39'!$C$7),"",'Colaborad@r39'!$C$7)</f>
        <v/>
      </c>
      <c r="D45" s="53" t="str">
        <f>IF(ISBLANK('Colaborad@r39'!$C$8),"",'Colaborad@r39'!$C$8)</f>
        <v/>
      </c>
      <c r="E45" s="53" t="str">
        <f>IF(ISBLANK('Colaborad@r39'!$C$9),"",'Colaborad@r39'!$C$9)</f>
        <v/>
      </c>
      <c r="F45" s="53" t="str">
        <f>IF(ISBLANK('Colaborad@r39'!$G$6),"",'Colaborad@r39'!$J$19)</f>
        <v/>
      </c>
      <c r="G45" s="53" t="str">
        <f t="shared" si="1"/>
        <v/>
      </c>
      <c r="H45" s="53" t="str">
        <f t="shared" si="0"/>
        <v/>
      </c>
    </row>
    <row r="46" spans="1:8" s="54" customFormat="1" ht="15" x14ac:dyDescent="0.25">
      <c r="A46" s="52">
        <v>42</v>
      </c>
      <c r="B46" s="53" t="str">
        <f>IF(ISBLANK('Colaborad@r40'!$G$6),"",'Colaborad@r40'!$G$6)</f>
        <v/>
      </c>
      <c r="C46" s="53" t="str">
        <f>IF(ISBLANK('Colaborad@r40'!$C$7),"",'Colaborad@r40'!$C$7)</f>
        <v/>
      </c>
      <c r="D46" s="53" t="str">
        <f>IF(ISBLANK('Colaborad@r40'!$C$8),"",'Colaborad@r40'!$C$8)</f>
        <v/>
      </c>
      <c r="E46" s="53" t="str">
        <f>IF(ISBLANK('Colaborad@r40'!$C$9),"",'Colaborad@r40'!$C$9)</f>
        <v/>
      </c>
      <c r="F46" s="53" t="str">
        <f>IF(ISBLANK('Colaborad@r40'!$G$6),"",'Colaborad@r40'!$J$19)</f>
        <v/>
      </c>
      <c r="G46" s="53" t="str">
        <f t="shared" si="1"/>
        <v/>
      </c>
      <c r="H46" s="53" t="str">
        <f t="shared" si="0"/>
        <v/>
      </c>
    </row>
    <row r="47" spans="1:8" s="54" customFormat="1" ht="15" x14ac:dyDescent="0.25">
      <c r="A47" s="52">
        <v>43</v>
      </c>
      <c r="B47" s="53" t="str">
        <f>IF(ISBLANK('Colaborad@r41'!$G$6),"",'Colaborad@r41'!$G$6)</f>
        <v/>
      </c>
      <c r="C47" s="53" t="str">
        <f>IF(ISBLANK('Colaborad@r41'!$C$7),"",'Colaborad@r41'!$C$7)</f>
        <v/>
      </c>
      <c r="D47" s="53" t="str">
        <f>IF(ISBLANK('Colaborad@r41'!$C$8),"",'Colaborad@r41'!$C$8)</f>
        <v/>
      </c>
      <c r="E47" s="53" t="str">
        <f>IF(ISBLANK('Colaborad@r41'!$C$9),"",'Colaborad@r41'!$C$9)</f>
        <v/>
      </c>
      <c r="F47" s="53" t="str">
        <f>IF(ISBLANK('Colaborad@r41'!$G$6),"",'Colaborad@r41'!$J$19)</f>
        <v/>
      </c>
      <c r="G47" s="53" t="str">
        <f t="shared" si="1"/>
        <v/>
      </c>
      <c r="H47" s="53" t="str">
        <f t="shared" si="0"/>
        <v/>
      </c>
    </row>
    <row r="48" spans="1:8" s="54" customFormat="1" ht="15" x14ac:dyDescent="0.25">
      <c r="A48" s="52">
        <v>44</v>
      </c>
      <c r="B48" s="53" t="str">
        <f>IF(ISBLANK('Colaborad@r42'!$G$6),"",'Colaborad@r42'!$G$6)</f>
        <v/>
      </c>
      <c r="C48" s="53" t="str">
        <f>IF(ISBLANK('Colaborad@r42'!$C$7),"",'Colaborad@r42'!$C$7)</f>
        <v/>
      </c>
      <c r="D48" s="53" t="str">
        <f>IF(ISBLANK('Colaborad@r42'!$C$8),"",'Colaborad@r42'!$C$8)</f>
        <v/>
      </c>
      <c r="E48" s="53" t="str">
        <f>IF(ISBLANK('Colaborad@r42'!$C$9),"",'Colaborad@r42'!$C$9)</f>
        <v/>
      </c>
      <c r="F48" s="53" t="str">
        <f>IF(ISBLANK('Colaborad@r42'!$G$6),"",'Colaborad@r42'!$J$19)</f>
        <v/>
      </c>
      <c r="G48" s="53" t="str">
        <f t="shared" si="1"/>
        <v/>
      </c>
      <c r="H48" s="53" t="str">
        <f t="shared" si="0"/>
        <v/>
      </c>
    </row>
    <row r="49" spans="1:8" s="54" customFormat="1" ht="15" x14ac:dyDescent="0.25">
      <c r="A49" s="52">
        <v>45</v>
      </c>
      <c r="B49" s="53" t="str">
        <f>IF(ISBLANK('Colaborad@r43'!$G$6),"",'Colaborad@r43'!$G$6)</f>
        <v/>
      </c>
      <c r="C49" s="53" t="str">
        <f>IF(ISBLANK('Colaborad@r43'!$C$7),"",'Colaborad@r43'!$C$7)</f>
        <v/>
      </c>
      <c r="D49" s="53" t="str">
        <f>IF(ISBLANK('Colaborad@r43'!$C$8),"",'Colaborad@r43'!$C$8)</f>
        <v/>
      </c>
      <c r="E49" s="53" t="str">
        <f>IF(ISBLANK('Colaborad@r43'!$C$9),"",'Colaborad@r43'!$C$9)</f>
        <v/>
      </c>
      <c r="F49" s="53" t="str">
        <f>IF(ISBLANK('Colaborad@r43'!$G$6),"",'Colaborad@r43'!$J$19)</f>
        <v/>
      </c>
      <c r="G49" s="53" t="str">
        <f t="shared" si="1"/>
        <v/>
      </c>
      <c r="H49" s="53" t="str">
        <f t="shared" si="0"/>
        <v/>
      </c>
    </row>
    <row r="50" spans="1:8" s="54" customFormat="1" ht="15" x14ac:dyDescent="0.25">
      <c r="A50" s="52">
        <v>46</v>
      </c>
      <c r="B50" s="53" t="str">
        <f>IF(ISBLANK('Colaborad@r44'!$G$6),"",'Colaborad@r44'!$G$6)</f>
        <v/>
      </c>
      <c r="C50" s="53" t="str">
        <f>IF(ISBLANK('Colaborad@r44'!$C$7),"",'Colaborad@r44'!$C$7)</f>
        <v/>
      </c>
      <c r="D50" s="53" t="str">
        <f>IF(ISBLANK('Colaborad@r44'!$C$8),"",'Colaborad@r44'!$C$8)</f>
        <v/>
      </c>
      <c r="E50" s="53" t="str">
        <f>IF(ISBLANK('Colaborad@r44'!$C$9),"",'Colaborad@r44'!$C$9)</f>
        <v/>
      </c>
      <c r="F50" s="53" t="str">
        <f>IF(ISBLANK('Colaborad@r44'!$G$6),"",'Colaborad@r44'!$J$19)</f>
        <v/>
      </c>
      <c r="G50" s="53" t="str">
        <f t="shared" si="1"/>
        <v/>
      </c>
      <c r="H50" s="53" t="str">
        <f t="shared" si="0"/>
        <v/>
      </c>
    </row>
    <row r="51" spans="1:8" s="54" customFormat="1" ht="15" x14ac:dyDescent="0.25">
      <c r="A51" s="52">
        <v>47</v>
      </c>
      <c r="B51" s="53" t="str">
        <f>IF(ISBLANK('Colaborad@r45'!$G$6),"",'Colaborad@r45'!$G$6)</f>
        <v/>
      </c>
      <c r="C51" s="53" t="str">
        <f>IF(ISBLANK('Colaborad@r45'!$C$7),"",'Colaborad@r45'!$C$7)</f>
        <v/>
      </c>
      <c r="D51" s="53" t="str">
        <f>IF(ISBLANK('Colaborad@r45'!$C$8),"",'Colaborad@r45'!$C$8)</f>
        <v/>
      </c>
      <c r="E51" s="53" t="str">
        <f>IF(ISBLANK('Colaborad@r45'!$C$9),"",'Colaborad@r45'!$C$9)</f>
        <v/>
      </c>
      <c r="F51" s="53" t="str">
        <f>IF(ISBLANK('Colaborad@r45'!$G$6),"",'Colaborad@r45'!$J$19)</f>
        <v/>
      </c>
      <c r="G51" s="53" t="str">
        <f t="shared" si="1"/>
        <v/>
      </c>
      <c r="H51" s="53" t="str">
        <f t="shared" si="0"/>
        <v/>
      </c>
    </row>
    <row r="52" spans="1:8" s="54" customFormat="1" ht="15" x14ac:dyDescent="0.25">
      <c r="A52" s="52">
        <v>48</v>
      </c>
      <c r="B52" s="53" t="str">
        <f>IF(ISBLANK('Colaborad@r46'!$G$6),"",'Colaborad@r46'!$G$6)</f>
        <v/>
      </c>
      <c r="C52" s="53" t="str">
        <f>IF(ISBLANK('Colaborad@r46'!$C$7),"",'Colaborad@r46'!$C$7)</f>
        <v/>
      </c>
      <c r="D52" s="53" t="str">
        <f>IF(ISBLANK('Colaborad@r46'!$C$8),"",'Colaborad@r46'!$C$8)</f>
        <v/>
      </c>
      <c r="E52" s="53" t="str">
        <f>IF(ISBLANK('Colaborad@r46'!$C$9),"",'Colaborad@r46'!$C$9)</f>
        <v/>
      </c>
      <c r="F52" s="53" t="str">
        <f>IF(ISBLANK('Colaborad@r46'!$G$6),"",'Colaborad@r46'!$J$19)</f>
        <v/>
      </c>
      <c r="G52" s="53" t="str">
        <f t="shared" si="1"/>
        <v/>
      </c>
      <c r="H52" s="53" t="str">
        <f t="shared" si="0"/>
        <v/>
      </c>
    </row>
    <row r="53" spans="1:8" s="54" customFormat="1" ht="15" x14ac:dyDescent="0.25">
      <c r="A53" s="52">
        <v>49</v>
      </c>
      <c r="B53" s="53" t="str">
        <f>IF(ISBLANK('Colaborad@r47'!$G$6),"",'Colaborad@r47'!$G$6)</f>
        <v/>
      </c>
      <c r="C53" s="53" t="str">
        <f>IF(ISBLANK('Colaborad@r47'!$C$7),"",'Colaborad@r47'!$C$7)</f>
        <v/>
      </c>
      <c r="D53" s="53" t="str">
        <f>IF(ISBLANK('Colaborad@r47'!$C$8),"",'Colaborad@r47'!$C$8)</f>
        <v/>
      </c>
      <c r="E53" s="53" t="str">
        <f>IF(ISBLANK('Colaborad@r47'!$C$9),"",'Colaborad@r47'!$C$9)</f>
        <v/>
      </c>
      <c r="F53" s="53" t="str">
        <f>IF(ISBLANK('Colaborad@r47'!$G$6),"",'Colaborad@r47'!$J$19)</f>
        <v/>
      </c>
      <c r="G53" s="53" t="str">
        <f t="shared" si="1"/>
        <v/>
      </c>
      <c r="H53" s="53" t="str">
        <f t="shared" si="0"/>
        <v/>
      </c>
    </row>
    <row r="54" spans="1:8" ht="15" x14ac:dyDescent="0.25">
      <c r="A54" s="52">
        <v>50</v>
      </c>
      <c r="B54" s="53" t="str">
        <f>IF(ISBLANK('Colaborad@r48'!$G$6),"",'Colaborad@r48'!$G$6)</f>
        <v/>
      </c>
      <c r="C54" s="53" t="str">
        <f>IF(ISBLANK('Colaborad@r48'!$C$7),"",'Colaborad@r48'!$C$7)</f>
        <v/>
      </c>
      <c r="D54" s="53" t="str">
        <f>IF(ISBLANK('Colaborad@r48'!$C$8),"",'Colaborad@r48'!$C$8)</f>
        <v/>
      </c>
      <c r="E54" s="53" t="str">
        <f>IF(ISBLANK('Colaborad@r48'!$C$9),"",'Colaborad@r48'!$C$9)</f>
        <v/>
      </c>
      <c r="F54" s="53" t="str">
        <f>IF(ISBLANK('Colaborad@r48'!$G$6),"",'Colaborad@r48'!$J$19)</f>
        <v/>
      </c>
      <c r="G54" s="53" t="str">
        <f t="shared" ref="G54" si="2">IF(B54="","","Colaborador/a")</f>
        <v/>
      </c>
      <c r="H54" s="53" t="str">
        <f t="shared" ref="H54" si="3">IF(B54="","",IF(F54&gt;=0,IF(F54&lt;70,"NO RECIBE BOLSA","RECIBE BOLSA"),""))</f>
        <v/>
      </c>
    </row>
    <row r="55" spans="1:8" ht="15" x14ac:dyDescent="0.25">
      <c r="A55" s="52">
        <v>51</v>
      </c>
      <c r="B55" s="53" t="str">
        <f>IF(ISBLANK('Colaborad@r49'!$G$6),"",'Colaborad@r49'!$G$6)</f>
        <v/>
      </c>
      <c r="C55" s="53" t="str">
        <f>IF(ISBLANK('Colaborad@r49'!$C$7),"",'Colaborad@r49'!$C$7)</f>
        <v/>
      </c>
      <c r="D55" s="53" t="str">
        <f>IF(ISBLANK('Colaborad@r49'!$C$8),"",'Colaborad@r49'!$C$8)</f>
        <v/>
      </c>
      <c r="E55" s="53" t="str">
        <f>IF(ISBLANK('Colaborad@r49'!$C$9),"",'Colaborad@r49'!$C$9)</f>
        <v/>
      </c>
      <c r="F55" s="53" t="str">
        <f>IF(ISBLANK('Colaborad@r49'!$G$6),"",'Colaborad@r49'!$J$19)</f>
        <v/>
      </c>
      <c r="G55" s="53" t="str">
        <f t="shared" ref="G55" si="4">IF(B55="","","Colaborador/a")</f>
        <v/>
      </c>
      <c r="H55" s="53" t="str">
        <f t="shared" ref="H55" si="5">IF(B55="","",IF(F55&gt;=0,IF(F55&lt;70,"NO RECIBE BOLSA","RECIBE BOLSA"),""))</f>
        <v/>
      </c>
    </row>
    <row r="56" spans="1:8" ht="15" x14ac:dyDescent="0.25">
      <c r="A56" s="52">
        <v>52</v>
      </c>
      <c r="B56" s="53" t="str">
        <f>IF(ISBLANK('Colaborad@r50'!$G$6),"",'Colaborad@r50'!$G$6)</f>
        <v/>
      </c>
      <c r="C56" s="53" t="str">
        <f>IF(ISBLANK('Colaborad@r50'!$C$7),"",'Colaborad@r50'!$C$7)</f>
        <v/>
      </c>
      <c r="D56" s="53" t="str">
        <f>IF(ISBLANK('Colaborad@r50'!$C$8),"",'Colaborad@r50'!$C$8)</f>
        <v/>
      </c>
      <c r="E56" s="53" t="str">
        <f>IF(ISBLANK('Colaborad@r50'!$C$9),"",'Colaborad@r50'!$C$9)</f>
        <v/>
      </c>
      <c r="F56" s="53" t="str">
        <f>IF(ISBLANK('Colaborad@r50'!$G$6),"",'Colaborad@r50'!$J$19)</f>
        <v/>
      </c>
      <c r="G56" s="53" t="str">
        <f t="shared" ref="G56" si="6">IF(B56="","","Colaborador/a")</f>
        <v/>
      </c>
      <c r="H56" s="53" t="str">
        <f t="shared" ref="H56" si="7">IF(B56="","",IF(F56&gt;=0,IF(F56&lt;70,"NO RECIBE BOLSA","RECIBE BOLSA"),""))</f>
        <v/>
      </c>
    </row>
  </sheetData>
  <sheetProtection algorithmName="SHA-512" hashValue="g+TPlb8CWqiulDUO0x+EJ5I2qrFfDvVVFpGMVz37upEZGOJnhQJKludGrIaaIEQwvh7bCfYJGhtjejX1NWFKVQ==" saltValue="cEF0j8y1qpJ/QQyuISWDew==" spinCount="100000" sheet="1" objects="1" scenarios="1" autoFilter="0"/>
  <autoFilter ref="A4:H54"/>
  <mergeCells count="4">
    <mergeCell ref="D1:H1"/>
    <mergeCell ref="D2:H2"/>
    <mergeCell ref="A1:B1"/>
    <mergeCell ref="A2:B2"/>
  </mergeCells>
  <conditionalFormatting sqref="G5:G54">
    <cfRule type="cellIs" dxfId="209" priority="6" operator="equal">
      <formula>"Elegir opción"</formula>
    </cfRule>
  </conditionalFormatting>
  <conditionalFormatting sqref="H5:H54">
    <cfRule type="cellIs" dxfId="208" priority="5" operator="equal">
      <formula>"NO RECIBE BOLSA"</formula>
    </cfRule>
  </conditionalFormatting>
  <conditionalFormatting sqref="G56">
    <cfRule type="cellIs" dxfId="207" priority="4" operator="equal">
      <formula>"Elegir opción"</formula>
    </cfRule>
  </conditionalFormatting>
  <conditionalFormatting sqref="H56">
    <cfRule type="cellIs" dxfId="206" priority="3" operator="equal">
      <formula>"NO RECIBE BOLSA"</formula>
    </cfRule>
  </conditionalFormatting>
  <conditionalFormatting sqref="G55">
    <cfRule type="cellIs" dxfId="205" priority="2" operator="equal">
      <formula>"Elegir opción"</formula>
    </cfRule>
  </conditionalFormatting>
  <conditionalFormatting sqref="H55">
    <cfRule type="cellIs" dxfId="204" priority="1" operator="equal">
      <formula>"NO RECIBE BOLSA"</formula>
    </cfRule>
  </conditionalFormatting>
  <hyperlinks>
    <hyperlink ref="A5" location="'Supervis@r1'!A1" display="'Supervis@r1'!A1"/>
    <hyperlink ref="A6" location="'Supervis@r1_Int'!A1" display="'Supervis@r1_Int'!A1"/>
    <hyperlink ref="A7" location="'Colaborad@r1'!A1" display="'Colaborad@r1'!A1"/>
    <hyperlink ref="A8" location="'Colaborad@r2'!A1" display="'Colaborad@r2'!A1"/>
    <hyperlink ref="A9" location="'Colaborad@r3'!A1" display="'Colaborad@r3'!A1"/>
    <hyperlink ref="A10" location="'Colaborad@r4'!A1" display="'Colaborad@r4'!A1"/>
    <hyperlink ref="A53" location="'Colaborad@r47'!A1" display="'Colaborad@r47'!A1"/>
    <hyperlink ref="A52" location="'Colaborad@r46'!A1" display="'Colaborad@r46'!A1"/>
    <hyperlink ref="A51" location="'Colaborad@r45'!A1" display="'Colaborad@r45'!A1"/>
    <hyperlink ref="A50" location="'Colaborad@r44'!A1" display="'Colaborad@r44'!A1"/>
    <hyperlink ref="A49" location="'Colaborad@r43'!A1" display="'Colaborad@r43'!A1"/>
    <hyperlink ref="A48" location="'Colaborad@r42'!A1" display="'Colaborad@r42'!A1"/>
    <hyperlink ref="A47" location="'Colaborad@r41'!A1" display="'Colaborad@r41'!A1"/>
    <hyperlink ref="A46" location="'Colaborad@r40'!A1" display="'Colaborad@r40'!A1"/>
    <hyperlink ref="A45" location="'Colaborad@r39'!A1" display="'Colaborad@r39'!A1"/>
    <hyperlink ref="A44" location="'Colaborad@r38'!A1" display="'Colaborad@r38'!A1"/>
    <hyperlink ref="A43" location="'Colaborad@r37'!A1" display="'Colaborad@r37'!A1"/>
    <hyperlink ref="A42" location="'Colaborad@r36'!A1" display="'Colaborad@r36'!A1"/>
    <hyperlink ref="A41" location="'Colaborad@r35'!A1" display="'Colaborad@r35'!A1"/>
    <hyperlink ref="A40" location="'Colaborad@r34'!A1" display="'Colaborad@r34'!A1"/>
    <hyperlink ref="A39" location="'Colaborad@r33'!A1" display="'Colaborad@r33'!A1"/>
    <hyperlink ref="A38" location="'Colaborad@r32'!A1" display="'Colaborad@r32'!A1"/>
    <hyperlink ref="A37" location="'Colaborad@r31'!A1" display="'Colaborad@r31'!A1"/>
    <hyperlink ref="A36" location="'Colaborad@r30'!A1" display="'Colaborad@r30'!A1"/>
    <hyperlink ref="A35" location="'Colaborad@r29'!A1" display="'Colaborad@r29'!A1"/>
    <hyperlink ref="A34" location="'Colaborad@r28'!A1" display="'Colaborad@r28'!A1"/>
    <hyperlink ref="A33" location="'Colaborad@r27'!A1" display="'Colaborad@r27'!A1"/>
    <hyperlink ref="A32" location="'Colaborad@r26'!A1" display="'Colaborad@r26'!A1"/>
    <hyperlink ref="A31" location="'Colaborad@r25'!A1" display="'Colaborad@r25'!A1"/>
    <hyperlink ref="A30" location="'Colaborad@r24'!A1" display="'Colaborad@r24'!A1"/>
    <hyperlink ref="A29" location="'Colaborad@r23'!A1" display="'Colaborad@r23'!A1"/>
    <hyperlink ref="A28" location="'Colaborad@r22'!A1" display="'Colaborad@r22'!A1"/>
    <hyperlink ref="A27" location="'Colaborad@r21'!A1" display="'Colaborad@r21'!A1"/>
    <hyperlink ref="A26" location="'Colaborad@r20'!A1" display="'Colaborad@r20'!A1"/>
    <hyperlink ref="A25" location="'Colaborad@r19'!A1" display="'Colaborad@r19'!A1"/>
    <hyperlink ref="A24" location="'Colaborad@r18'!A1" display="'Colaborad@r18'!A1"/>
    <hyperlink ref="A23" location="'Colaborad@r17'!A1" display="'Colaborad@r17'!A1"/>
    <hyperlink ref="A22" location="'Colaborad@r16'!A1" display="'Colaborad@r16'!A1"/>
    <hyperlink ref="A21" location="'Colaborad@r15'!A1" display="'Colaborad@r15'!A1"/>
    <hyperlink ref="A20" location="'Colaborad@r14'!A1" display="'Colaborad@r14'!A1"/>
    <hyperlink ref="A19" location="'Colaborad@r13'!A1" display="'Colaborad@r13'!A1"/>
    <hyperlink ref="A18" location="'Colaborad@r12'!A1" display="'Colaborad@r12'!A1"/>
    <hyperlink ref="A17" location="'Colaborad@r11'!A1" display="'Colaborad@r11'!A1"/>
    <hyperlink ref="A16" location="'Colaborad@r10'!A1" display="'Colaborad@r10'!A1"/>
    <hyperlink ref="A15" location="'Colaborad@r9'!A1" display="'Colaborad@r9'!A1"/>
    <hyperlink ref="A14" location="'Colaborad@r8'!A1" display="'Colaborad@r8'!A1"/>
    <hyperlink ref="A13" location="'Colaborad@r7'!A1" display="'Colaborad@r7'!A1"/>
    <hyperlink ref="A12" location="'Colaborad@r6'!A1" display="'Colaborad@r6'!A1"/>
    <hyperlink ref="A11" location="'Colaborad@r5'!A1" display="'Colaborad@r5'!A1"/>
    <hyperlink ref="A54" location="'Colaborad@r48'!A1" display="'Colaborad@r48'!A1"/>
    <hyperlink ref="A56" location="'Colaborad@r50'!A1" display="'Colaborad@r50'!A1"/>
    <hyperlink ref="A55" location="'Colaborad@r49'!A1" display="'Colaborad@r49'!A1"/>
  </hyperlinks>
  <pageMargins left="3.937007874015748E-2" right="3.937007874015748E-2" top="7.874015748031496E-2" bottom="7.874015748031496E-2" header="0.31496062992125984" footer="0.31496062992125984"/>
  <pageSetup paperSize="9" pageOrder="overThenDown" orientation="landscap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L19"/>
  <sheetViews>
    <sheetView zoomScale="110" zoomScaleNormal="110" workbookViewId="0">
      <pane ySplit="12" topLeftCell="A13" activePane="bottomLeft" state="frozen"/>
      <selection activeCell="B19" sqref="B19"/>
      <selection pane="bottomLeft" activeCell="C8" sqref="C8:J8"/>
    </sheetView>
  </sheetViews>
  <sheetFormatPr baseColWidth="10" defaultColWidth="9" defaultRowHeight="12" x14ac:dyDescent="0.25"/>
  <cols>
    <col min="1" max="1" width="2.5703125" style="5" customWidth="1"/>
    <col min="2" max="2" width="37.42578125" style="5" customWidth="1"/>
    <col min="3" max="3" width="17" style="5" bestFit="1" customWidth="1"/>
    <col min="4" max="4" width="12.5703125" style="5" customWidth="1"/>
    <col min="5" max="5" width="15.5703125" style="5" customWidth="1"/>
    <col min="6" max="6" width="12.42578125" style="5" customWidth="1"/>
    <col min="7" max="7" width="11.85546875" style="5" customWidth="1"/>
    <col min="8" max="8" width="9" style="5"/>
    <col min="9" max="9" width="10.5703125" style="5" customWidth="1"/>
    <col min="10" max="10" width="10.140625" style="5" customWidth="1"/>
    <col min="11" max="16384" width="9" style="5"/>
  </cols>
  <sheetData>
    <row r="1" spans="1:12" ht="15" customHeight="1" x14ac:dyDescent="0.25">
      <c r="A1" s="61" t="s">
        <v>28</v>
      </c>
      <c r="B1" s="61"/>
      <c r="C1" s="65" t="s">
        <v>48</v>
      </c>
      <c r="D1" s="66"/>
      <c r="E1" s="66"/>
      <c r="F1" s="66"/>
      <c r="G1" s="66"/>
      <c r="H1" s="67"/>
      <c r="I1" s="63" t="s">
        <v>44</v>
      </c>
      <c r="J1" s="64"/>
    </row>
    <row r="2" spans="1:12" ht="15" customHeight="1" x14ac:dyDescent="0.25">
      <c r="A2" s="62" t="s">
        <v>24</v>
      </c>
      <c r="B2" s="62"/>
      <c r="C2" s="65" t="s">
        <v>49</v>
      </c>
      <c r="D2" s="66"/>
      <c r="E2" s="66"/>
      <c r="F2" s="66"/>
      <c r="G2" s="66"/>
      <c r="H2" s="67"/>
      <c r="I2" s="36">
        <v>2025</v>
      </c>
      <c r="J2" s="38">
        <f>$I$2+1</f>
        <v>2026</v>
      </c>
    </row>
    <row r="3" spans="1:12" ht="15.75" customHeight="1" x14ac:dyDescent="0.25">
      <c r="A3" s="62" t="s">
        <v>43</v>
      </c>
      <c r="B3" s="62"/>
      <c r="C3" s="71" t="s">
        <v>59</v>
      </c>
      <c r="D3" s="71"/>
      <c r="E3" s="71"/>
      <c r="F3" s="71"/>
      <c r="G3" s="71"/>
      <c r="H3" s="71"/>
      <c r="I3" s="71"/>
      <c r="J3" s="71"/>
    </row>
    <row r="4" spans="1:12" ht="15.75" customHeight="1" x14ac:dyDescent="0.25">
      <c r="A4" s="62" t="s">
        <v>41</v>
      </c>
      <c r="B4" s="62"/>
      <c r="C4" s="71" t="s">
        <v>59</v>
      </c>
      <c r="D4" s="71"/>
      <c r="E4" s="71"/>
      <c r="F4" s="71"/>
      <c r="G4" s="71"/>
      <c r="H4" s="71"/>
      <c r="I4" s="71"/>
      <c r="J4" s="71"/>
    </row>
    <row r="5" spans="1:12" ht="15.75" customHeight="1" x14ac:dyDescent="0.25">
      <c r="A5" s="62" t="s">
        <v>42</v>
      </c>
      <c r="B5" s="62"/>
      <c r="C5" s="71" t="s">
        <v>60</v>
      </c>
      <c r="D5" s="71"/>
      <c r="E5" s="71"/>
      <c r="F5" s="71"/>
      <c r="G5" s="71"/>
      <c r="H5" s="71"/>
      <c r="I5" s="71"/>
      <c r="J5" s="71"/>
    </row>
    <row r="6" spans="1:12" x14ac:dyDescent="0.25">
      <c r="B6" s="6"/>
    </row>
    <row r="7" spans="1:12" ht="16.5" customHeight="1" x14ac:dyDescent="0.25">
      <c r="A7" s="62" t="s">
        <v>11</v>
      </c>
      <c r="B7" s="62"/>
      <c r="C7" s="71" t="s">
        <v>52</v>
      </c>
      <c r="D7" s="71"/>
      <c r="E7" s="71"/>
      <c r="F7" s="20" t="s">
        <v>17</v>
      </c>
      <c r="G7" s="21" t="s">
        <v>61</v>
      </c>
      <c r="H7" s="20" t="s">
        <v>26</v>
      </c>
      <c r="I7" s="72" t="s">
        <v>0</v>
      </c>
      <c r="J7" s="72"/>
    </row>
    <row r="8" spans="1:12" ht="16.5" customHeight="1" x14ac:dyDescent="0.25">
      <c r="A8" s="59" t="s">
        <v>38</v>
      </c>
      <c r="B8" s="60"/>
      <c r="C8" s="68" t="str">
        <f>IF(C3="","",C3)</f>
        <v>JEFE</v>
      </c>
      <c r="D8" s="69"/>
      <c r="E8" s="69"/>
      <c r="F8" s="69"/>
      <c r="G8" s="69"/>
      <c r="H8" s="69"/>
      <c r="I8" s="69"/>
      <c r="J8" s="70"/>
    </row>
    <row r="9" spans="1:12" ht="16.5" customHeight="1" x14ac:dyDescent="0.25">
      <c r="A9" s="59" t="s">
        <v>39</v>
      </c>
      <c r="B9" s="60"/>
      <c r="C9" s="68" t="str">
        <f t="shared" ref="C9:C10" si="0">IF(C4="","",C4)</f>
        <v>JEFE</v>
      </c>
      <c r="D9" s="69"/>
      <c r="E9" s="69"/>
      <c r="F9" s="69"/>
      <c r="G9" s="69"/>
      <c r="H9" s="69"/>
      <c r="I9" s="69"/>
      <c r="J9" s="70"/>
    </row>
    <row r="10" spans="1:12" ht="16.5" customHeight="1" x14ac:dyDescent="0.25">
      <c r="A10" s="59" t="s">
        <v>40</v>
      </c>
      <c r="B10" s="60"/>
      <c r="C10" s="68" t="str">
        <f t="shared" si="0"/>
        <v>JOSE</v>
      </c>
      <c r="D10" s="69"/>
      <c r="E10" s="69"/>
      <c r="F10" s="69"/>
      <c r="G10" s="69"/>
      <c r="H10" s="69"/>
      <c r="I10" s="69"/>
      <c r="J10" s="70"/>
    </row>
    <row r="12" spans="1:12" s="7" customFormat="1" ht="33.75" x14ac:dyDescent="0.25">
      <c r="A12" s="20" t="s">
        <v>1</v>
      </c>
      <c r="B12" s="22" t="s">
        <v>4</v>
      </c>
      <c r="C12" s="22" t="s">
        <v>5</v>
      </c>
      <c r="D12" s="22" t="s">
        <v>6</v>
      </c>
      <c r="E12" s="22" t="s">
        <v>12</v>
      </c>
      <c r="F12" s="22" t="s">
        <v>7</v>
      </c>
      <c r="G12" s="22" t="s">
        <v>8</v>
      </c>
      <c r="H12" s="20" t="s">
        <v>3</v>
      </c>
      <c r="I12" s="12" t="s">
        <v>9</v>
      </c>
      <c r="J12" s="12" t="s">
        <v>31</v>
      </c>
    </row>
    <row r="13" spans="1:12" s="13" customFormat="1" ht="33.75" x14ac:dyDescent="0.25">
      <c r="A13" s="22">
        <f>IF(B13="","",COUNTA($B$13:B13))</f>
        <v>1</v>
      </c>
      <c r="B13" s="8" t="s">
        <v>29</v>
      </c>
      <c r="C13" s="9" t="s">
        <v>13</v>
      </c>
      <c r="D13" s="10">
        <v>0.2</v>
      </c>
      <c r="E13" s="9" t="s">
        <v>15</v>
      </c>
      <c r="F13" s="11">
        <v>15</v>
      </c>
      <c r="G13" s="11" t="s">
        <v>16</v>
      </c>
      <c r="H13" s="2"/>
      <c r="I13" s="39" t="str">
        <f t="shared" ref="I13:I17" si="1">IFERROR(IF(OR(A13="",F13=""),"",IF(AND(G13&lt;&gt;"Alza",G13&lt;&gt;"Baja"),"",IF(G13="Alza",IF(AND(H13&lt;&gt;"",H13&gt;=F13),"SÍ","NO"),IF(G13="Baja",IF(AND(H13&lt;&gt;"",H13&lt;=F13),"SÍ","NO"))))),"")</f>
        <v>NO</v>
      </c>
      <c r="J13" s="40">
        <f>IF(B13="","",IFERROR(IF(I13="SÍ",D13*100,0),""))</f>
        <v>0</v>
      </c>
      <c r="K13" s="7"/>
      <c r="L13" s="7"/>
    </row>
    <row r="14" spans="1:12" s="13" customFormat="1" ht="33.75" x14ac:dyDescent="0.25">
      <c r="A14" s="22">
        <f>IF(B14="","",COUNTA($B$13:B14))</f>
        <v>2</v>
      </c>
      <c r="B14" s="8" t="s">
        <v>20</v>
      </c>
      <c r="C14" s="9" t="s">
        <v>13</v>
      </c>
      <c r="D14" s="10">
        <v>0.2</v>
      </c>
      <c r="E14" s="9" t="s">
        <v>15</v>
      </c>
      <c r="F14" s="9">
        <v>2</v>
      </c>
      <c r="G14" s="11" t="s">
        <v>16</v>
      </c>
      <c r="H14" s="2"/>
      <c r="I14" s="39" t="str">
        <f t="shared" si="1"/>
        <v>NO</v>
      </c>
      <c r="J14" s="40">
        <f t="shared" ref="J14:J18" si="2">IF(B14="","",IFERROR(IF(I14="SÍ",D14*100,0),""))</f>
        <v>0</v>
      </c>
    </row>
    <row r="15" spans="1:12" s="13" customFormat="1" ht="56.25" x14ac:dyDescent="0.25">
      <c r="A15" s="22">
        <f>IF(B15="","",COUNTA($B$13:B15))</f>
        <v>3</v>
      </c>
      <c r="B15" s="8" t="s">
        <v>21</v>
      </c>
      <c r="C15" s="9" t="s">
        <v>13</v>
      </c>
      <c r="D15" s="10">
        <v>0.2</v>
      </c>
      <c r="E15" s="9" t="s">
        <v>15</v>
      </c>
      <c r="F15" s="9">
        <v>2</v>
      </c>
      <c r="G15" s="11" t="s">
        <v>16</v>
      </c>
      <c r="H15" s="2"/>
      <c r="I15" s="39" t="str">
        <f t="shared" si="1"/>
        <v>NO</v>
      </c>
      <c r="J15" s="40">
        <f t="shared" si="2"/>
        <v>0</v>
      </c>
    </row>
    <row r="16" spans="1:12" s="13" customFormat="1" ht="33.75" x14ac:dyDescent="0.25">
      <c r="A16" s="22">
        <f>IF(B16="","",COUNTA($B$13:B16))</f>
        <v>4</v>
      </c>
      <c r="B16" s="8" t="s">
        <v>22</v>
      </c>
      <c r="C16" s="9" t="s">
        <v>13</v>
      </c>
      <c r="D16" s="10">
        <v>0.12</v>
      </c>
      <c r="E16" s="9" t="s">
        <v>15</v>
      </c>
      <c r="F16" s="9">
        <v>1</v>
      </c>
      <c r="G16" s="11" t="s">
        <v>16</v>
      </c>
      <c r="H16" s="2"/>
      <c r="I16" s="39" t="str">
        <f t="shared" si="1"/>
        <v>NO</v>
      </c>
      <c r="J16" s="40">
        <f t="shared" si="2"/>
        <v>0</v>
      </c>
    </row>
    <row r="17" spans="1:10" s="13" customFormat="1" ht="45" x14ac:dyDescent="0.25">
      <c r="A17" s="22">
        <f>IF(B17="","",COUNTA($B$13:B17))</f>
        <v>5</v>
      </c>
      <c r="B17" s="8" t="s">
        <v>23</v>
      </c>
      <c r="C17" s="9" t="s">
        <v>13</v>
      </c>
      <c r="D17" s="10">
        <v>0.12</v>
      </c>
      <c r="E17" s="9" t="s">
        <v>15</v>
      </c>
      <c r="F17" s="9">
        <v>1</v>
      </c>
      <c r="G17" s="11" t="s">
        <v>16</v>
      </c>
      <c r="H17" s="2"/>
      <c r="I17" s="39" t="str">
        <f t="shared" si="1"/>
        <v>NO</v>
      </c>
      <c r="J17" s="40">
        <f t="shared" si="2"/>
        <v>0</v>
      </c>
    </row>
    <row r="18" spans="1:10" s="13" customFormat="1" ht="11.25" x14ac:dyDescent="0.25">
      <c r="A18" s="23">
        <f>IF(B18="","",COUNTA($B$13:B18))</f>
        <v>6</v>
      </c>
      <c r="B18" s="1" t="s">
        <v>45</v>
      </c>
      <c r="C18" s="24"/>
      <c r="D18" s="25">
        <f>IF(B18="","",16%)</f>
        <v>0.16</v>
      </c>
      <c r="E18" s="24"/>
      <c r="F18" s="24"/>
      <c r="G18" s="26"/>
      <c r="H18" s="24"/>
      <c r="I18" s="39" t="str">
        <f>IFERROR(IF(OR(A18="",F18=""),"",IF(AND(G18&lt;&gt;"Alza",G18&lt;&gt;"Baja"),"",IF(G18="Alza",IF(AND(H18&lt;&gt;"",H18&gt;=F18),"SÍ","NO"),IF(G18="Baja",IF(AND(H18&lt;&gt;"",H18&lt;=F18),"SÍ","NO"))))),"")</f>
        <v/>
      </c>
      <c r="J18" s="39">
        <f t="shared" si="2"/>
        <v>0</v>
      </c>
    </row>
    <row r="19" spans="1:10" ht="29.25" customHeight="1" x14ac:dyDescent="0.25">
      <c r="A19" s="28"/>
      <c r="B19" s="29"/>
      <c r="C19" s="30" t="s">
        <v>10</v>
      </c>
      <c r="D19" s="41">
        <f>SUM($D$13:$D$18)</f>
        <v>1</v>
      </c>
      <c r="E19" s="29"/>
      <c r="F19" s="29"/>
      <c r="G19" s="29"/>
      <c r="H19" s="29"/>
      <c r="I19" s="30" t="s">
        <v>2</v>
      </c>
      <c r="J19" s="42">
        <f>IF(D19&lt;&gt;1,0,SUM($J$13:$J$18))</f>
        <v>0</v>
      </c>
    </row>
  </sheetData>
  <sheetProtection algorithmName="SHA-512" hashValue="zHABg2h7KVEpntU1SSAq+1KXiPkdzoGlE8K06NXsm5ujyTDWe/qhwZdxL9ok6KknaydikQnUkIK4Jr5SgvxtxQ==" saltValue="HnpzLhlujfwf1yZz0WCoDg==" spinCount="100000" sheet="1" objects="1" scenarios="1"/>
  <mergeCells count="20">
    <mergeCell ref="I1:J1"/>
    <mergeCell ref="C1:H1"/>
    <mergeCell ref="C2:H2"/>
    <mergeCell ref="C9:J9"/>
    <mergeCell ref="C10:J10"/>
    <mergeCell ref="C7:E7"/>
    <mergeCell ref="C3:J3"/>
    <mergeCell ref="I7:J7"/>
    <mergeCell ref="C8:J8"/>
    <mergeCell ref="C4:J4"/>
    <mergeCell ref="C5:J5"/>
    <mergeCell ref="A8:B8"/>
    <mergeCell ref="A9:B9"/>
    <mergeCell ref="A10:B10"/>
    <mergeCell ref="A1:B1"/>
    <mergeCell ref="A2:B2"/>
    <mergeCell ref="A3:B3"/>
    <mergeCell ref="A7:B7"/>
    <mergeCell ref="A4:B4"/>
    <mergeCell ref="A5:B5"/>
  </mergeCells>
  <phoneticPr fontId="4" type="noConversion"/>
  <conditionalFormatting sqref="D19">
    <cfRule type="cellIs" dxfId="203" priority="4" operator="notEqual">
      <formula>1</formula>
    </cfRule>
  </conditionalFormatting>
  <conditionalFormatting sqref="J19">
    <cfRule type="expression" dxfId="202" priority="2">
      <formula>$D$18&lt;&gt;0.16</formula>
    </cfRule>
  </conditionalFormatting>
  <dataValidations count="6">
    <dataValidation type="list" allowBlank="1" showInputMessage="1" showErrorMessage="1" sqref="K13">
      <formula1>"SÍ,NO"</formula1>
    </dataValidation>
    <dataValidation type="list" allowBlank="1" showInputMessage="1" showErrorMessage="1" sqref="C13:C18">
      <formula1>"Individual,Colectivo"</formula1>
    </dataValidation>
    <dataValidation type="list" allowBlank="1" showInputMessage="1" showErrorMessage="1" sqref="G13:G18">
      <formula1>"Alza,Baja"</formula1>
    </dataValidation>
    <dataValidation type="list" allowBlank="1" showInputMessage="1" showErrorMessage="1" sqref="E13:E18">
      <formula1>"Número,Porcentaje"</formula1>
    </dataValidation>
    <dataValidation type="whole" allowBlank="1" showInputMessage="1" showErrorMessage="1" errorTitle="VALOR NO NUMÉRICO" error="Debes introducir un valor numérico." sqref="H13:H18 F18">
      <formula1>0</formula1>
      <formula2>1000</formula2>
    </dataValidation>
    <dataValidation type="list" allowBlank="1" showInputMessage="1" showErrorMessage="1" sqref="I2">
      <formula1>"2025,2026,2027,2028,2029,2030,2031,2032,2033,2034,2035,2035,2036,2037,2038,2039,2040,2041,2042,2043,2044,2045,2046,2047,2028,2049,2050"</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L18"/>
  <sheetViews>
    <sheetView zoomScale="110" zoomScaleNormal="110" workbookViewId="0">
      <pane ySplit="8" topLeftCell="A9"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9.5703125" style="5" customWidth="1"/>
    <col min="3" max="3" width="17" style="5" bestFit="1" customWidth="1"/>
    <col min="4" max="4" width="12.5703125" style="5" customWidth="1"/>
    <col min="5" max="5" width="15.5703125" style="5" customWidth="1"/>
    <col min="6" max="6" width="12.42578125" style="5" customWidth="1"/>
    <col min="7" max="7" width="11.8554687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76" t="str">
        <f>IF(ISBLANK('Supervis@r1'!$C$1),"",'Supervis@r1'!$C$1)</f>
        <v>SERVICIOS OPERATIVOS</v>
      </c>
      <c r="D1" s="77"/>
      <c r="E1" s="77"/>
      <c r="F1" s="77"/>
      <c r="G1" s="77"/>
      <c r="H1" s="78"/>
      <c r="I1" s="63" t="s">
        <v>44</v>
      </c>
      <c r="J1" s="64"/>
    </row>
    <row r="2" spans="1:12" ht="15" customHeight="1" x14ac:dyDescent="0.25">
      <c r="A2" s="75" t="s">
        <v>24</v>
      </c>
      <c r="B2" s="75"/>
      <c r="C2" s="76" t="str">
        <f>IF(ISBLANK('Supervis@r1'!$C$2),"",'Supervis@r1'!$C$2)</f>
        <v>ADMINISTRACION</v>
      </c>
      <c r="D2" s="77"/>
      <c r="E2" s="77"/>
      <c r="F2" s="77"/>
      <c r="G2" s="77"/>
      <c r="H2" s="78"/>
      <c r="I2" s="38">
        <f>'Supervis@r1'!$I$2</f>
        <v>2025</v>
      </c>
      <c r="J2" s="38">
        <f>'Supervis@r1'!$J$2</f>
        <v>2026</v>
      </c>
    </row>
    <row r="3" spans="1:12" ht="15.75" customHeight="1" x14ac:dyDescent="0.25">
      <c r="A3" s="75" t="s">
        <v>0</v>
      </c>
      <c r="B3" s="75"/>
      <c r="C3" s="76" t="str">
        <f>IF(ISBLANK('Supervis@r1'!$C$3),"",CONCATENATE('Supervis@r1'!$C$3," ",'Supervis@r1'!$C$4,",",'Supervis@r1'!$C$5))</f>
        <v>JEFE JEFE,JOSE</v>
      </c>
      <c r="D3" s="77"/>
      <c r="E3" s="77"/>
      <c r="F3" s="77"/>
      <c r="G3" s="77"/>
      <c r="H3" s="77"/>
      <c r="I3" s="77"/>
      <c r="J3" s="78"/>
    </row>
    <row r="4" spans="1:12" x14ac:dyDescent="0.25">
      <c r="B4" s="6"/>
    </row>
    <row r="5" spans="1:12" ht="16.5" customHeight="1" x14ac:dyDescent="0.25">
      <c r="A5" s="62" t="s">
        <v>11</v>
      </c>
      <c r="B5" s="62"/>
      <c r="C5" s="71"/>
      <c r="D5" s="71"/>
      <c r="E5" s="71"/>
      <c r="F5" s="20" t="s">
        <v>17</v>
      </c>
      <c r="G5" s="21"/>
      <c r="H5" s="20" t="s">
        <v>26</v>
      </c>
      <c r="I5" s="72" t="s">
        <v>25</v>
      </c>
      <c r="J5" s="72"/>
    </row>
    <row r="6" spans="1:12" ht="15.75" customHeight="1" x14ac:dyDescent="0.25">
      <c r="A6" s="62" t="s">
        <v>38</v>
      </c>
      <c r="B6" s="62"/>
      <c r="C6" s="71"/>
      <c r="D6" s="71"/>
      <c r="E6" s="71"/>
      <c r="F6" s="71"/>
      <c r="G6" s="71"/>
      <c r="H6" s="71"/>
      <c r="I6" s="71"/>
      <c r="J6" s="71"/>
    </row>
    <row r="7" spans="1:12" ht="15.75" customHeight="1" x14ac:dyDescent="0.25">
      <c r="A7" s="62" t="s">
        <v>39</v>
      </c>
      <c r="B7" s="62"/>
      <c r="C7" s="73"/>
      <c r="D7" s="73"/>
      <c r="E7" s="73"/>
      <c r="F7" s="73"/>
      <c r="G7" s="73"/>
      <c r="H7" s="73"/>
      <c r="I7" s="73"/>
      <c r="J7" s="73"/>
    </row>
    <row r="8" spans="1:12" ht="15.75" customHeight="1" x14ac:dyDescent="0.25">
      <c r="A8" s="62" t="s">
        <v>40</v>
      </c>
      <c r="B8" s="62"/>
      <c r="C8" s="73"/>
      <c r="D8" s="73"/>
      <c r="E8" s="73"/>
      <c r="F8" s="73"/>
      <c r="G8" s="73"/>
      <c r="H8" s="73"/>
      <c r="I8" s="73"/>
      <c r="J8" s="73"/>
    </row>
    <row r="9" spans="1:12" x14ac:dyDescent="0.25">
      <c r="C9" s="43"/>
      <c r="D9" s="43"/>
      <c r="E9" s="43"/>
      <c r="F9" s="43"/>
      <c r="G9" s="43"/>
      <c r="H9" s="43"/>
      <c r="I9" s="43"/>
      <c r="J9" s="43"/>
    </row>
    <row r="10" spans="1:12" s="7" customFormat="1" ht="33.75" x14ac:dyDescent="0.25">
      <c r="A10" s="20" t="s">
        <v>1</v>
      </c>
      <c r="B10" s="22" t="s">
        <v>4</v>
      </c>
      <c r="C10" s="22" t="s">
        <v>5</v>
      </c>
      <c r="D10" s="22" t="s">
        <v>6</v>
      </c>
      <c r="E10" s="22" t="s">
        <v>12</v>
      </c>
      <c r="F10" s="22" t="s">
        <v>7</v>
      </c>
      <c r="G10" s="22" t="s">
        <v>8</v>
      </c>
      <c r="H10" s="20" t="s">
        <v>3</v>
      </c>
      <c r="I10" s="12" t="s">
        <v>9</v>
      </c>
      <c r="J10" s="12" t="s">
        <v>31</v>
      </c>
    </row>
    <row r="11" spans="1:12" s="13" customFormat="1" ht="33.75" x14ac:dyDescent="0.25">
      <c r="A11" s="22">
        <f>IF(B11="","",COUNTA($B$11:B11))</f>
        <v>1</v>
      </c>
      <c r="B11" s="8" t="s">
        <v>29</v>
      </c>
      <c r="C11" s="9" t="s">
        <v>13</v>
      </c>
      <c r="D11" s="10">
        <v>0.2</v>
      </c>
      <c r="E11" s="9" t="s">
        <v>15</v>
      </c>
      <c r="F11" s="11">
        <v>15</v>
      </c>
      <c r="G11" s="11" t="s">
        <v>16</v>
      </c>
      <c r="H11" s="2"/>
      <c r="I11" s="27" t="str">
        <f t="shared" ref="I11:I15" si="0">IFERROR(IF(OR(A11="",F11=""),"",IF(AND(G11&lt;&gt;"Alza",G11&lt;&gt;"Baja"),"",IF(G11="Alza",IF(AND(H11&lt;&gt;"",H11&gt;=F11),"SÍ","NO"),IF(G11="Baja",IF(AND(H11&lt;&gt;"",H11&lt;=F11),"SÍ","NO"))))),"")</f>
        <v>NO</v>
      </c>
      <c r="J11" s="12">
        <f>IF(B11="","",IFERROR(IF(I11="SÍ",D11*100,0),""))</f>
        <v>0</v>
      </c>
      <c r="K11" s="7"/>
      <c r="L11" s="7"/>
    </row>
    <row r="12" spans="1:12" s="13" customFormat="1" ht="33.75" x14ac:dyDescent="0.25">
      <c r="A12" s="22">
        <f>IF(B12="","",COUNTA($B$11:B12))</f>
        <v>2</v>
      </c>
      <c r="B12" s="8" t="s">
        <v>20</v>
      </c>
      <c r="C12" s="9" t="s">
        <v>13</v>
      </c>
      <c r="D12" s="10">
        <v>0.2</v>
      </c>
      <c r="E12" s="9" t="s">
        <v>15</v>
      </c>
      <c r="F12" s="9">
        <v>2</v>
      </c>
      <c r="G12" s="11" t="s">
        <v>16</v>
      </c>
      <c r="H12" s="2"/>
      <c r="I12" s="39" t="str">
        <f t="shared" si="0"/>
        <v>NO</v>
      </c>
      <c r="J12" s="40">
        <f t="shared" ref="J12:J16" si="1">IF(B12="","",IFERROR(IF(I12="SÍ",D12*100,0),""))</f>
        <v>0</v>
      </c>
    </row>
    <row r="13" spans="1:12" s="13" customFormat="1" ht="56.25" x14ac:dyDescent="0.25">
      <c r="A13" s="22">
        <f>IF(B13="","",COUNTA($B$11:B13))</f>
        <v>3</v>
      </c>
      <c r="B13" s="8" t="s">
        <v>21</v>
      </c>
      <c r="C13" s="9" t="s">
        <v>13</v>
      </c>
      <c r="D13" s="10">
        <v>0.2</v>
      </c>
      <c r="E13" s="9" t="s">
        <v>15</v>
      </c>
      <c r="F13" s="9">
        <v>2</v>
      </c>
      <c r="G13" s="11" t="s">
        <v>16</v>
      </c>
      <c r="H13" s="2"/>
      <c r="I13" s="39" t="str">
        <f t="shared" si="0"/>
        <v>NO</v>
      </c>
      <c r="J13" s="40">
        <f t="shared" si="1"/>
        <v>0</v>
      </c>
    </row>
    <row r="14" spans="1:12" s="13" customFormat="1" ht="33.75" x14ac:dyDescent="0.25">
      <c r="A14" s="22">
        <f>IF(B14="","",COUNTA($B$11:B14))</f>
        <v>4</v>
      </c>
      <c r="B14" s="8" t="s">
        <v>22</v>
      </c>
      <c r="C14" s="9" t="s">
        <v>13</v>
      </c>
      <c r="D14" s="10">
        <v>0.12</v>
      </c>
      <c r="E14" s="9" t="s">
        <v>15</v>
      </c>
      <c r="F14" s="9">
        <v>1</v>
      </c>
      <c r="G14" s="11" t="s">
        <v>16</v>
      </c>
      <c r="H14" s="2"/>
      <c r="I14" s="39" t="str">
        <f t="shared" si="0"/>
        <v>NO</v>
      </c>
      <c r="J14" s="40">
        <f t="shared" si="1"/>
        <v>0</v>
      </c>
    </row>
    <row r="15" spans="1:12" s="13" customFormat="1" ht="45" x14ac:dyDescent="0.25">
      <c r="A15" s="22">
        <f>IF(B15="","",COUNTA($B$11:B15))</f>
        <v>5</v>
      </c>
      <c r="B15" s="8" t="s">
        <v>23</v>
      </c>
      <c r="C15" s="9" t="s">
        <v>13</v>
      </c>
      <c r="D15" s="10">
        <v>0.12</v>
      </c>
      <c r="E15" s="9" t="s">
        <v>15</v>
      </c>
      <c r="F15" s="9">
        <v>1</v>
      </c>
      <c r="G15" s="11" t="s">
        <v>16</v>
      </c>
      <c r="H15" s="2"/>
      <c r="I15" s="39" t="str">
        <f t="shared" si="0"/>
        <v>NO</v>
      </c>
      <c r="J15" s="40">
        <f t="shared" si="1"/>
        <v>0</v>
      </c>
    </row>
    <row r="16" spans="1:12" s="13" customFormat="1" ht="11.25" x14ac:dyDescent="0.25">
      <c r="A16" s="23">
        <f>IF(B16="","",COUNTA($B$11:B16))</f>
        <v>6</v>
      </c>
      <c r="B16" s="1" t="s">
        <v>45</v>
      </c>
      <c r="C16" s="2"/>
      <c r="D16" s="10">
        <f>IF(B16="","",16%)</f>
        <v>0.16</v>
      </c>
      <c r="E16" s="24"/>
      <c r="F16" s="24"/>
      <c r="G16" s="26"/>
      <c r="H16" s="24"/>
      <c r="I16" s="39" t="str">
        <f>IFERROR(IF(OR(A16="",F16=""),"",IF(AND(G16&lt;&gt;"Alza",G16&lt;&gt;"Baja"),"",IF(G16="Alza",IF(AND(H16&lt;&gt;"",H16&gt;=F16),"SÍ","NO"),IF(G16="Baja",IF(AND(H16&lt;&gt;"",H16&lt;=F16),"SÍ","NO"))))),"")</f>
        <v/>
      </c>
      <c r="J16" s="40">
        <f t="shared" si="1"/>
        <v>0</v>
      </c>
    </row>
    <row r="17" spans="1:10" ht="29.25" customHeight="1" x14ac:dyDescent="0.25">
      <c r="A17" s="28"/>
      <c r="B17" s="33"/>
      <c r="C17" s="32" t="s">
        <v>10</v>
      </c>
      <c r="D17" s="31">
        <f>SUM($D$11:$D$16)</f>
        <v>1</v>
      </c>
      <c r="E17" s="28"/>
      <c r="F17" s="29"/>
      <c r="G17" s="29"/>
      <c r="H17" s="33"/>
      <c r="I17" s="44" t="s">
        <v>2</v>
      </c>
      <c r="J17" s="42">
        <f>IF(D17&lt;&gt;1,0,SUM($J$11:$J$16))</f>
        <v>0</v>
      </c>
    </row>
    <row r="18" spans="1:10" x14ac:dyDescent="0.25">
      <c r="D18" s="43"/>
      <c r="J18" s="43"/>
    </row>
  </sheetData>
  <sheetProtection algorithmName="SHA-512" hashValue="tzAA+zC6VuJ0/kgBAa3ubUjwn1HdgXg2a4AOdGWQ7egTKlV6ZcymEExFlkYfQt4rPX3gwO4Fl3LKHr3jq3TLFg==" saltValue="7khSd9gCitab5uXx84nAeA==" spinCount="100000" sheet="1" objects="1" scenarios="1"/>
  <mergeCells count="16">
    <mergeCell ref="A8:B8"/>
    <mergeCell ref="C8:J8"/>
    <mergeCell ref="A1:B1"/>
    <mergeCell ref="A2:B2"/>
    <mergeCell ref="A3:B3"/>
    <mergeCell ref="C3:J3"/>
    <mergeCell ref="A6:B6"/>
    <mergeCell ref="A5:B5"/>
    <mergeCell ref="C5:E5"/>
    <mergeCell ref="I5:J5"/>
    <mergeCell ref="C6:J6"/>
    <mergeCell ref="A7:B7"/>
    <mergeCell ref="C7:J7"/>
    <mergeCell ref="I1:J1"/>
    <mergeCell ref="C1:H1"/>
    <mergeCell ref="C2:H2"/>
  </mergeCells>
  <conditionalFormatting sqref="D17">
    <cfRule type="cellIs" dxfId="201" priority="3" operator="notEqual">
      <formula>1</formula>
    </cfRule>
  </conditionalFormatting>
  <conditionalFormatting sqref="J17">
    <cfRule type="expression" dxfId="200" priority="1">
      <formula>$D$16&lt;&gt;0.16</formula>
    </cfRule>
  </conditionalFormatting>
  <dataValidations count="5">
    <dataValidation type="list" allowBlank="1" showInputMessage="1" showErrorMessage="1" sqref="E11:E16">
      <formula1>"Número,Porcentaje"</formula1>
    </dataValidation>
    <dataValidation type="list" allowBlank="1" showInputMessage="1" showErrorMessage="1" sqref="G11:G16">
      <formula1>"Alza,Baja"</formula1>
    </dataValidation>
    <dataValidation type="list" allowBlank="1" showInputMessage="1" showErrorMessage="1" sqref="K11">
      <formula1>"SÍ,NO"</formula1>
    </dataValidation>
    <dataValidation type="list" allowBlank="1" showInputMessage="1" showErrorMessage="1" sqref="C11:C16">
      <formula1>"Individual,Colectivo"</formula1>
    </dataValidation>
    <dataValidation type="whole" allowBlank="1" showInputMessage="1" showErrorMessage="1" errorTitle="VALOR NO NUMÉRICO" error="Debes introducir un valor numérico." sqref="H11:H16 F16">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
  <dimension ref="A1:L19"/>
  <sheetViews>
    <sheetView zoomScale="110" zoomScaleNormal="110" workbookViewId="0">
      <pane ySplit="7" topLeftCell="A8" activePane="bottomLeft" state="frozen"/>
      <selection activeCell="B19" sqref="B19"/>
      <selection pane="bottomLeft" activeCell="C7" sqref="C7:J7"/>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t="s">
        <v>51</v>
      </c>
      <c r="D6" s="71"/>
      <c r="E6" s="71"/>
      <c r="F6" s="20" t="s">
        <v>17</v>
      </c>
      <c r="G6" s="21" t="s">
        <v>66</v>
      </c>
      <c r="H6" s="20" t="s">
        <v>26</v>
      </c>
      <c r="I6" s="79" t="s">
        <v>30</v>
      </c>
      <c r="J6" s="79"/>
    </row>
    <row r="7" spans="1:12" ht="16.5" customHeight="1" x14ac:dyDescent="0.25">
      <c r="A7" s="80" t="s">
        <v>38</v>
      </c>
      <c r="B7" s="80"/>
      <c r="C7" s="71" t="s">
        <v>65</v>
      </c>
      <c r="D7" s="71"/>
      <c r="E7" s="71"/>
      <c r="F7" s="71"/>
      <c r="G7" s="71"/>
      <c r="H7" s="71"/>
      <c r="I7" s="71"/>
      <c r="J7" s="71"/>
    </row>
    <row r="8" spans="1:12" ht="16.5" customHeight="1" x14ac:dyDescent="0.25">
      <c r="A8" s="80" t="s">
        <v>39</v>
      </c>
      <c r="B8" s="80"/>
      <c r="C8" s="71" t="s">
        <v>65</v>
      </c>
      <c r="D8" s="71"/>
      <c r="E8" s="71"/>
      <c r="F8" s="71"/>
      <c r="G8" s="71"/>
      <c r="H8" s="71"/>
      <c r="I8" s="71"/>
      <c r="J8" s="71"/>
    </row>
    <row r="9" spans="1:12" ht="16.5" customHeight="1" x14ac:dyDescent="0.25">
      <c r="A9" s="80" t="s">
        <v>40</v>
      </c>
      <c r="B9" s="80"/>
      <c r="C9" s="71" t="s">
        <v>56</v>
      </c>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v>15</v>
      </c>
      <c r="I12" s="40" t="str">
        <f t="shared" ref="I12:I17" si="0">IFERROR(IF(OR(A12="",F12=""),"",IF(AND(G12&lt;&gt;"Alza",G12&lt;&gt;"Baja"),"",IF(G12="Alza",IF(AND(H12&lt;&gt;"",H12&gt;=F12),"SÍ","NO"),IF(G12="Baja",IF(AND(H12&lt;&gt;"",H12&lt;=F12),"SÍ","NO"))))),"")</f>
        <v>SÍ</v>
      </c>
      <c r="J12" s="40">
        <f>IF(B12="","",IFERROR(IF(I12="SÍ",D12*100,0),""))</f>
        <v>20</v>
      </c>
      <c r="K12" s="7"/>
      <c r="L12" s="7"/>
    </row>
    <row r="13" spans="1:12" s="13" customFormat="1" ht="67.5" x14ac:dyDescent="0.25">
      <c r="A13" s="22">
        <f>IF(B13="","",COUNTA($B$12:B13))</f>
        <v>2</v>
      </c>
      <c r="B13" s="8" t="s">
        <v>32</v>
      </c>
      <c r="C13" s="9" t="s">
        <v>14</v>
      </c>
      <c r="D13" s="10">
        <v>0.2</v>
      </c>
      <c r="E13" s="9" t="s">
        <v>15</v>
      </c>
      <c r="F13" s="2">
        <v>1</v>
      </c>
      <c r="G13" s="11" t="s">
        <v>16</v>
      </c>
      <c r="H13" s="2">
        <v>1</v>
      </c>
      <c r="I13" s="40" t="str">
        <f t="shared" si="0"/>
        <v>SÍ</v>
      </c>
      <c r="J13" s="40">
        <f t="shared" ref="J13:J18" si="1">IF(B13="","",IFERROR(IF(I13="SÍ",D13*100,0),""))</f>
        <v>20</v>
      </c>
    </row>
    <row r="14" spans="1:12" s="13" customFormat="1" ht="56.25" x14ac:dyDescent="0.25">
      <c r="A14" s="22">
        <f>IF(B14="","",COUNTA($B$12:B14))</f>
        <v>3</v>
      </c>
      <c r="B14" s="8" t="s">
        <v>33</v>
      </c>
      <c r="C14" s="9" t="s">
        <v>13</v>
      </c>
      <c r="D14" s="10">
        <v>0.2</v>
      </c>
      <c r="E14" s="9" t="s">
        <v>15</v>
      </c>
      <c r="F14" s="2">
        <v>2</v>
      </c>
      <c r="G14" s="11" t="s">
        <v>16</v>
      </c>
      <c r="H14" s="2">
        <v>2</v>
      </c>
      <c r="I14" s="40" t="str">
        <f t="shared" si="0"/>
        <v>SÍ</v>
      </c>
      <c r="J14" s="40">
        <f t="shared" si="1"/>
        <v>20</v>
      </c>
    </row>
    <row r="15" spans="1:12" s="13" customFormat="1" ht="22.5" x14ac:dyDescent="0.25">
      <c r="A15" s="22">
        <f>IF(B15="","",COUNTA($B$12:B15))</f>
        <v>4</v>
      </c>
      <c r="B15" s="1" t="s">
        <v>53</v>
      </c>
      <c r="C15" s="2" t="s">
        <v>13</v>
      </c>
      <c r="D15" s="3">
        <v>0.2</v>
      </c>
      <c r="E15" s="2" t="s">
        <v>54</v>
      </c>
      <c r="F15" s="2">
        <v>80</v>
      </c>
      <c r="G15" s="4" t="s">
        <v>16</v>
      </c>
      <c r="H15" s="2">
        <v>100</v>
      </c>
      <c r="I15" s="40" t="str">
        <f t="shared" si="0"/>
        <v>SÍ</v>
      </c>
      <c r="J15" s="40">
        <f t="shared" si="1"/>
        <v>20</v>
      </c>
    </row>
    <row r="16" spans="1:12" s="13" customFormat="1" ht="22.5" x14ac:dyDescent="0.25">
      <c r="A16" s="22">
        <f>IF(B16="","",COUNTA($B$12:B16))</f>
        <v>5</v>
      </c>
      <c r="B16" s="1" t="s">
        <v>55</v>
      </c>
      <c r="C16" s="2" t="s">
        <v>13</v>
      </c>
      <c r="D16" s="3">
        <v>0.2</v>
      </c>
      <c r="E16" s="2" t="s">
        <v>54</v>
      </c>
      <c r="F16" s="2">
        <v>80</v>
      </c>
      <c r="G16" s="4" t="s">
        <v>16</v>
      </c>
      <c r="H16" s="2">
        <v>100</v>
      </c>
      <c r="I16" s="40" t="str">
        <f t="shared" si="0"/>
        <v>SÍ</v>
      </c>
      <c r="J16" s="40">
        <f t="shared" si="1"/>
        <v>20</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1</v>
      </c>
      <c r="E19" s="35"/>
      <c r="F19" s="29"/>
      <c r="G19" s="29"/>
      <c r="H19" s="33"/>
      <c r="I19" s="30" t="s">
        <v>2</v>
      </c>
      <c r="J19" s="42">
        <f>IF(D19&lt;&gt;1,0,SUM($J$12:$J$18))</f>
        <v>100</v>
      </c>
    </row>
  </sheetData>
  <sheetProtection algorithmName="SHA-512" hashValue="OyoTM22uu5r9UAhSfS21OvwUHU5cZKuVC7kowqDahf+TJC+UElTcfPvJW7GHPb2IIeH6Gu8cp/PDG2sXiJ7sDw==" saltValue="TToYkLu/OLPF8xiKEd+AGg==" spinCount="100000" sheet="1" objects="1" scenarios="1"/>
  <mergeCells count="18">
    <mergeCell ref="A4:B4"/>
    <mergeCell ref="C4:J4"/>
    <mergeCell ref="C2:H2"/>
    <mergeCell ref="C1:H1"/>
    <mergeCell ref="I1:J1"/>
    <mergeCell ref="A1:B1"/>
    <mergeCell ref="A2:B2"/>
    <mergeCell ref="A3:B3"/>
    <mergeCell ref="C3:J3"/>
    <mergeCell ref="C7:J7"/>
    <mergeCell ref="C8:J8"/>
    <mergeCell ref="C9:J9"/>
    <mergeCell ref="I6:J6"/>
    <mergeCell ref="A7:B7"/>
    <mergeCell ref="A8:B8"/>
    <mergeCell ref="A9:B9"/>
    <mergeCell ref="A6:B6"/>
    <mergeCell ref="C6:E6"/>
  </mergeCells>
  <conditionalFormatting sqref="D19">
    <cfRule type="cellIs" dxfId="199" priority="4" operator="notEqual">
      <formula>1</formula>
    </cfRule>
  </conditionalFormatting>
  <conditionalFormatting sqref="F13">
    <cfRule type="cellIs" dxfId="198" priority="3" operator="notEqual">
      <formula>1</formula>
    </cfRule>
  </conditionalFormatting>
  <conditionalFormatting sqref="F14">
    <cfRule type="cellIs" dxfId="197" priority="2" operator="notEqual">
      <formula>2</formula>
    </cfRule>
  </conditionalFormatting>
  <conditionalFormatting sqref="J19">
    <cfRule type="cellIs" dxfId="196" priority="1" operator="equal">
      <formula>0</formula>
    </cfRule>
  </conditionalFormatting>
  <dataValidations count="8">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 type="whole" allowBlank="1" showInputMessage="1" showErrorMessage="1" errorTitle="VALOR NO NUMÉRICO" error="Debes introducir un valor numérico." sqref="H12:H18 F15:F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
  <dimension ref="A1:L19"/>
  <sheetViews>
    <sheetView zoomScale="110" zoomScaleNormal="110" workbookViewId="0">
      <pane ySplit="7" topLeftCell="A8" activePane="bottomLeft" state="frozen"/>
      <selection activeCell="B19" sqref="B19"/>
      <selection pane="bottomLeft" activeCell="H12" sqref="H12"/>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t="s">
        <v>51</v>
      </c>
      <c r="D6" s="71"/>
      <c r="E6" s="71"/>
      <c r="F6" s="20" t="s">
        <v>17</v>
      </c>
      <c r="G6" s="21" t="s">
        <v>62</v>
      </c>
      <c r="H6" s="20" t="s">
        <v>26</v>
      </c>
      <c r="I6" s="79" t="s">
        <v>30</v>
      </c>
      <c r="J6" s="79"/>
    </row>
    <row r="7" spans="1:12" ht="16.5" customHeight="1" x14ac:dyDescent="0.25">
      <c r="A7" s="80" t="s">
        <v>38</v>
      </c>
      <c r="B7" s="80"/>
      <c r="C7" s="71" t="s">
        <v>63</v>
      </c>
      <c r="D7" s="71"/>
      <c r="E7" s="71"/>
      <c r="F7" s="71"/>
      <c r="G7" s="71"/>
      <c r="H7" s="71"/>
      <c r="I7" s="71"/>
      <c r="J7" s="71"/>
    </row>
    <row r="8" spans="1:12" ht="16.5" customHeight="1" x14ac:dyDescent="0.25">
      <c r="A8" s="80" t="s">
        <v>39</v>
      </c>
      <c r="B8" s="80"/>
      <c r="C8" s="71" t="s">
        <v>63</v>
      </c>
      <c r="D8" s="71"/>
      <c r="E8" s="71"/>
      <c r="F8" s="71"/>
      <c r="G8" s="71"/>
      <c r="H8" s="71"/>
      <c r="I8" s="71"/>
      <c r="J8" s="71"/>
    </row>
    <row r="9" spans="1:12" ht="16.5" customHeight="1" x14ac:dyDescent="0.25">
      <c r="A9" s="80" t="s">
        <v>40</v>
      </c>
      <c r="B9" s="80"/>
      <c r="C9" s="71" t="s">
        <v>64</v>
      </c>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v>0</v>
      </c>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v>0</v>
      </c>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v>0</v>
      </c>
      <c r="I14" s="40" t="str">
        <f t="shared" si="0"/>
        <v>NO</v>
      </c>
      <c r="J14" s="40">
        <f t="shared" si="1"/>
        <v>0</v>
      </c>
    </row>
    <row r="15" spans="1:12" s="13" customFormat="1" ht="22.5" x14ac:dyDescent="0.25">
      <c r="A15" s="22">
        <f>IF(B15="","",COUNTA($B$12:B15))</f>
        <v>4</v>
      </c>
      <c r="B15" s="1" t="s">
        <v>53</v>
      </c>
      <c r="C15" s="2" t="s">
        <v>13</v>
      </c>
      <c r="D15" s="3">
        <v>0.2</v>
      </c>
      <c r="E15" s="2" t="s">
        <v>54</v>
      </c>
      <c r="F15" s="2">
        <v>80</v>
      </c>
      <c r="G15" s="4" t="s">
        <v>16</v>
      </c>
      <c r="H15" s="2">
        <v>0</v>
      </c>
      <c r="I15" s="40" t="str">
        <f t="shared" si="0"/>
        <v>NO</v>
      </c>
      <c r="J15" s="40">
        <f t="shared" si="1"/>
        <v>0</v>
      </c>
    </row>
    <row r="16" spans="1:12" s="13" customFormat="1" ht="22.5" x14ac:dyDescent="0.25">
      <c r="A16" s="22">
        <f>IF(B16="","",COUNTA($B$12:B16))</f>
        <v>5</v>
      </c>
      <c r="B16" s="1" t="s">
        <v>55</v>
      </c>
      <c r="C16" s="2" t="s">
        <v>13</v>
      </c>
      <c r="D16" s="3">
        <v>0.2</v>
      </c>
      <c r="E16" s="2" t="s">
        <v>54</v>
      </c>
      <c r="F16" s="2">
        <v>80</v>
      </c>
      <c r="G16" s="4" t="s">
        <v>16</v>
      </c>
      <c r="H16" s="2">
        <v>0</v>
      </c>
      <c r="I16" s="40" t="str">
        <f t="shared" si="0"/>
        <v>NO</v>
      </c>
      <c r="J16" s="40">
        <f t="shared" si="1"/>
        <v>0</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1</v>
      </c>
      <c r="E19" s="35"/>
      <c r="F19" s="29"/>
      <c r="G19" s="29"/>
      <c r="H19" s="33"/>
      <c r="I19" s="30" t="s">
        <v>2</v>
      </c>
      <c r="J19" s="42">
        <f>IF(D19&lt;&gt;1,0,SUM($J$12:$J$18))</f>
        <v>0</v>
      </c>
    </row>
  </sheetData>
  <sheetProtection algorithmName="SHA-512" hashValue="1zuAcu4LNQpNUrpDT5VduIABgBV681B/wNJ+Iv8T+pYNwR96CA2/pBTQ5VrqMPqpnRR1y/8fD07Q0iBbIUThZA==" saltValue="ghv/jUWUXOqAB/tozOfA8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95" priority="3" operator="notEqual">
      <formula>1</formula>
    </cfRule>
  </conditionalFormatting>
  <conditionalFormatting sqref="D19">
    <cfRule type="cellIs" dxfId="194" priority="4" operator="notEqual">
      <formula>1</formula>
    </cfRule>
  </conditionalFormatting>
  <conditionalFormatting sqref="F14">
    <cfRule type="cellIs" dxfId="193" priority="2" operator="notEqual">
      <formula>2</formula>
    </cfRule>
  </conditionalFormatting>
  <conditionalFormatting sqref="J19">
    <cfRule type="cellIs" dxfId="192"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7"/>
  <dimension ref="A1:L19"/>
  <sheetViews>
    <sheetView zoomScale="110" zoomScaleNormal="110" workbookViewId="0">
      <pane ySplit="7" topLeftCell="A8" activePane="bottomLeft" state="frozen"/>
      <selection activeCell="B19" sqref="B19"/>
      <selection pane="bottomLeft" activeCell="C7" sqref="C7:J7"/>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t="s">
        <v>51</v>
      </c>
      <c r="D6" s="71"/>
      <c r="E6" s="71"/>
      <c r="F6" s="20" t="s">
        <v>17</v>
      </c>
      <c r="G6" s="21" t="s">
        <v>58</v>
      </c>
      <c r="H6" s="20" t="s">
        <v>26</v>
      </c>
      <c r="I6" s="79" t="s">
        <v>30</v>
      </c>
      <c r="J6" s="79"/>
    </row>
    <row r="7" spans="1:12" ht="16.5" customHeight="1" x14ac:dyDescent="0.25">
      <c r="A7" s="80" t="s">
        <v>38</v>
      </c>
      <c r="B7" s="80"/>
      <c r="C7" s="71" t="s">
        <v>57</v>
      </c>
      <c r="D7" s="71"/>
      <c r="E7" s="71"/>
      <c r="F7" s="71"/>
      <c r="G7" s="71"/>
      <c r="H7" s="71"/>
      <c r="I7" s="71"/>
      <c r="J7" s="71"/>
    </row>
    <row r="8" spans="1:12" ht="16.5" customHeight="1" x14ac:dyDescent="0.25">
      <c r="A8" s="80" t="s">
        <v>39</v>
      </c>
      <c r="B8" s="80"/>
      <c r="C8" s="71" t="s">
        <v>57</v>
      </c>
      <c r="D8" s="71"/>
      <c r="E8" s="71"/>
      <c r="F8" s="71"/>
      <c r="G8" s="71"/>
      <c r="H8" s="71"/>
      <c r="I8" s="71"/>
      <c r="J8" s="71"/>
    </row>
    <row r="9" spans="1:12" ht="16.5" customHeight="1" x14ac:dyDescent="0.25">
      <c r="A9" s="80" t="s">
        <v>40</v>
      </c>
      <c r="B9" s="80"/>
      <c r="C9" s="71" t="s">
        <v>50</v>
      </c>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v>60</v>
      </c>
      <c r="I12" s="40" t="str">
        <f t="shared" ref="I12:I17" si="0">IFERROR(IF(OR(A12="",F12=""),"",IF(AND(G12&lt;&gt;"Alza",G12&lt;&gt;"Baja"),"",IF(G12="Alza",IF(AND(H12&lt;&gt;"",H12&gt;=F12),"SÍ","NO"),IF(G12="Baja",IF(AND(H12&lt;&gt;"",H12&lt;=F12),"SÍ","NO"))))),"")</f>
        <v>SÍ</v>
      </c>
      <c r="J12" s="40">
        <f>IF(B12="","",IFERROR(IF(I12="SÍ",D12*100,0),""))</f>
        <v>20</v>
      </c>
      <c r="K12" s="7"/>
      <c r="L12" s="7"/>
    </row>
    <row r="13" spans="1:12" s="13" customFormat="1" ht="67.5" x14ac:dyDescent="0.25">
      <c r="A13" s="22">
        <f>IF(B13="","",COUNTA($B$12:B13))</f>
        <v>2</v>
      </c>
      <c r="B13" s="8" t="s">
        <v>32</v>
      </c>
      <c r="C13" s="9" t="s">
        <v>14</v>
      </c>
      <c r="D13" s="10">
        <v>0.2</v>
      </c>
      <c r="E13" s="9" t="s">
        <v>15</v>
      </c>
      <c r="F13" s="2">
        <v>1</v>
      </c>
      <c r="G13" s="11" t="s">
        <v>16</v>
      </c>
      <c r="H13" s="2">
        <v>1</v>
      </c>
      <c r="I13" s="40" t="str">
        <f t="shared" si="0"/>
        <v>SÍ</v>
      </c>
      <c r="J13" s="40">
        <f t="shared" ref="J13:J18" si="1">IF(B13="","",IFERROR(IF(I13="SÍ",D13*100,0),""))</f>
        <v>20</v>
      </c>
    </row>
    <row r="14" spans="1:12" s="13" customFormat="1" ht="56.25" x14ac:dyDescent="0.25">
      <c r="A14" s="22">
        <f>IF(B14="","",COUNTA($B$12:B14))</f>
        <v>3</v>
      </c>
      <c r="B14" s="8" t="s">
        <v>33</v>
      </c>
      <c r="C14" s="9" t="s">
        <v>13</v>
      </c>
      <c r="D14" s="10">
        <v>0.2</v>
      </c>
      <c r="E14" s="9" t="s">
        <v>15</v>
      </c>
      <c r="F14" s="2">
        <v>1</v>
      </c>
      <c r="G14" s="11" t="s">
        <v>16</v>
      </c>
      <c r="H14" s="2">
        <v>1</v>
      </c>
      <c r="I14" s="40" t="str">
        <f t="shared" si="0"/>
        <v>SÍ</v>
      </c>
      <c r="J14" s="40">
        <f t="shared" si="1"/>
        <v>20</v>
      </c>
    </row>
    <row r="15" spans="1:12" s="13" customFormat="1" ht="22.5" x14ac:dyDescent="0.25">
      <c r="A15" s="22">
        <f>IF(B15="","",COUNTA($B$12:B15))</f>
        <v>4</v>
      </c>
      <c r="B15" s="1" t="s">
        <v>53</v>
      </c>
      <c r="C15" s="2" t="s">
        <v>13</v>
      </c>
      <c r="D15" s="3">
        <v>0.2</v>
      </c>
      <c r="E15" s="2" t="s">
        <v>54</v>
      </c>
      <c r="F15" s="2">
        <v>80</v>
      </c>
      <c r="G15" s="4" t="s">
        <v>16</v>
      </c>
      <c r="H15" s="2">
        <v>100</v>
      </c>
      <c r="I15" s="40" t="str">
        <f t="shared" si="0"/>
        <v>SÍ</v>
      </c>
      <c r="J15" s="40">
        <f t="shared" si="1"/>
        <v>20</v>
      </c>
    </row>
    <row r="16" spans="1:12" s="13" customFormat="1" ht="22.5" x14ac:dyDescent="0.25">
      <c r="A16" s="22">
        <f>IF(B16="","",COUNTA($B$12:B16))</f>
        <v>5</v>
      </c>
      <c r="B16" s="1" t="s">
        <v>55</v>
      </c>
      <c r="C16" s="2" t="s">
        <v>13</v>
      </c>
      <c r="D16" s="3">
        <v>0.2</v>
      </c>
      <c r="E16" s="2" t="s">
        <v>54</v>
      </c>
      <c r="F16" s="2">
        <v>80</v>
      </c>
      <c r="G16" s="4" t="s">
        <v>16</v>
      </c>
      <c r="H16" s="2">
        <v>100</v>
      </c>
      <c r="I16" s="40" t="str">
        <f t="shared" si="0"/>
        <v>SÍ</v>
      </c>
      <c r="J16" s="40">
        <f t="shared" si="1"/>
        <v>20</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1</v>
      </c>
      <c r="E19" s="35"/>
      <c r="F19" s="29"/>
      <c r="G19" s="29"/>
      <c r="H19" s="33"/>
      <c r="I19" s="30" t="s">
        <v>2</v>
      </c>
      <c r="J19" s="42">
        <f>IF(D19&lt;&gt;1,0,SUM($J$12:$J$18))</f>
        <v>100</v>
      </c>
    </row>
  </sheetData>
  <sheetProtection algorithmName="SHA-512" hashValue="FxmUU8g0W0CqW3KVXT4M37uNM0ZW6s1FDQYBeqDF7/vVuSOY8K0q943N6ojcZzGODAMmX9rKy0KSELrGTNArIg==" saltValue="yYe3c5yg09g1fhsqFqm7i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91" priority="3" operator="notEqual">
      <formula>1</formula>
    </cfRule>
  </conditionalFormatting>
  <conditionalFormatting sqref="D19">
    <cfRule type="cellIs" dxfId="190" priority="4" operator="notEqual">
      <formula>1</formula>
    </cfRule>
  </conditionalFormatting>
  <conditionalFormatting sqref="F14">
    <cfRule type="cellIs" dxfId="189" priority="2" operator="notEqual">
      <formula>2</formula>
    </cfRule>
  </conditionalFormatting>
  <conditionalFormatting sqref="J19">
    <cfRule type="cellIs" dxfId="188" priority="1" operator="equal">
      <formula>0</formula>
    </cfRule>
  </conditionalFormatting>
  <dataValidations count="8">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8"/>
  <dimension ref="A1:L19"/>
  <sheetViews>
    <sheetView zoomScale="110" zoomScaleNormal="110" workbookViewId="0">
      <pane ySplit="7" topLeftCell="A8" activePane="bottomLeft" state="frozen"/>
      <selection activeCell="B19" sqref="B19"/>
      <selection pane="bottomLeft" activeCell="C6" sqref="C6:E6"/>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v>15</v>
      </c>
      <c r="I12" s="40" t="str">
        <f t="shared" ref="I12:I17" si="0">IFERROR(IF(OR(A12="",F12=""),"",IF(AND(G12&lt;&gt;"Alza",G12&lt;&gt;"Baja"),"",IF(G12="Alza",IF(AND(H12&lt;&gt;"",H12&gt;=F12),"SÍ","NO"),IF(G12="Baja",IF(AND(H12&lt;&gt;"",H12&lt;=F12),"SÍ","NO"))))),"")</f>
        <v>SÍ</v>
      </c>
      <c r="J12" s="40">
        <f>IF(B12="","",IFERROR(IF(I12="SÍ",D12*100,0),""))</f>
        <v>20</v>
      </c>
      <c r="K12" s="7"/>
      <c r="L12" s="7"/>
    </row>
    <row r="13" spans="1:12" s="13" customFormat="1" ht="67.5" x14ac:dyDescent="0.25">
      <c r="A13" s="22">
        <f>IF(B13="","",COUNTA($B$12:B13))</f>
        <v>2</v>
      </c>
      <c r="B13" s="8" t="s">
        <v>32</v>
      </c>
      <c r="C13" s="9" t="s">
        <v>14</v>
      </c>
      <c r="D13" s="10">
        <v>0.2</v>
      </c>
      <c r="E13" s="9" t="s">
        <v>15</v>
      </c>
      <c r="F13" s="2">
        <v>1</v>
      </c>
      <c r="G13" s="11" t="s">
        <v>16</v>
      </c>
      <c r="H13" s="2">
        <v>1</v>
      </c>
      <c r="I13" s="40" t="str">
        <f t="shared" si="0"/>
        <v>SÍ</v>
      </c>
      <c r="J13" s="40">
        <f t="shared" ref="J13:J18" si="1">IF(B13="","",IFERROR(IF(I13="SÍ",D13*100,0),""))</f>
        <v>20</v>
      </c>
    </row>
    <row r="14" spans="1:12" s="13" customFormat="1" ht="56.25" x14ac:dyDescent="0.25">
      <c r="A14" s="22">
        <f>IF(B14="","",COUNTA($B$12:B14))</f>
        <v>3</v>
      </c>
      <c r="B14" s="8" t="s">
        <v>33</v>
      </c>
      <c r="C14" s="9" t="s">
        <v>13</v>
      </c>
      <c r="D14" s="10">
        <v>0.2</v>
      </c>
      <c r="E14" s="9" t="s">
        <v>15</v>
      </c>
      <c r="F14" s="2">
        <v>2</v>
      </c>
      <c r="G14" s="11" t="s">
        <v>16</v>
      </c>
      <c r="H14" s="2">
        <v>2</v>
      </c>
      <c r="I14" s="40" t="str">
        <f t="shared" si="0"/>
        <v>SÍ</v>
      </c>
      <c r="J14" s="40">
        <f t="shared" si="1"/>
        <v>20</v>
      </c>
    </row>
    <row r="15" spans="1:12" s="13" customFormat="1" ht="22.5" x14ac:dyDescent="0.25">
      <c r="A15" s="22">
        <f>IF(B15="","",COUNTA($B$12:B15))</f>
        <v>4</v>
      </c>
      <c r="B15" s="1" t="s">
        <v>53</v>
      </c>
      <c r="C15" s="2" t="s">
        <v>13</v>
      </c>
      <c r="D15" s="3">
        <v>0.2</v>
      </c>
      <c r="E15" s="2" t="s">
        <v>54</v>
      </c>
      <c r="F15" s="2">
        <v>80</v>
      </c>
      <c r="G15" s="4" t="s">
        <v>16</v>
      </c>
      <c r="H15" s="2">
        <v>100</v>
      </c>
      <c r="I15" s="40" t="str">
        <f t="shared" si="0"/>
        <v>SÍ</v>
      </c>
      <c r="J15" s="40">
        <f t="shared" si="1"/>
        <v>20</v>
      </c>
    </row>
    <row r="16" spans="1:12" s="13" customFormat="1" ht="22.5" x14ac:dyDescent="0.25">
      <c r="A16" s="22">
        <f>IF(B16="","",COUNTA($B$12:B16))</f>
        <v>5</v>
      </c>
      <c r="B16" s="1" t="s">
        <v>55</v>
      </c>
      <c r="C16" s="2" t="s">
        <v>13</v>
      </c>
      <c r="D16" s="3">
        <v>0.2</v>
      </c>
      <c r="E16" s="2" t="s">
        <v>54</v>
      </c>
      <c r="F16" s="2">
        <v>80</v>
      </c>
      <c r="G16" s="4" t="s">
        <v>16</v>
      </c>
      <c r="H16" s="2">
        <v>100</v>
      </c>
      <c r="I16" s="40" t="str">
        <f t="shared" si="0"/>
        <v>SÍ</v>
      </c>
      <c r="J16" s="40">
        <f t="shared" si="1"/>
        <v>20</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1</v>
      </c>
      <c r="E19" s="35"/>
      <c r="F19" s="29"/>
      <c r="G19" s="29"/>
      <c r="H19" s="33"/>
      <c r="I19" s="30" t="s">
        <v>2</v>
      </c>
      <c r="J19" s="42">
        <f>IF(D19&lt;&gt;1,0,SUM($J$12:$J$18))</f>
        <v>100</v>
      </c>
    </row>
  </sheetData>
  <sheetProtection algorithmName="SHA-512" hashValue="A64wwRquQU74qDqPLHUoLPrDqXe2n0cr34IUhMjpMjX5D45q9suv16U8OhsYTAvptmmZrT82OSFKGb8X/rRcIQ==" saltValue="7WvkjdB8LtWST/RSHSUul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87" priority="3" operator="notEqual">
      <formula>1</formula>
    </cfRule>
  </conditionalFormatting>
  <conditionalFormatting sqref="D19">
    <cfRule type="cellIs" dxfId="186" priority="4" operator="notEqual">
      <formula>1</formula>
    </cfRule>
  </conditionalFormatting>
  <conditionalFormatting sqref="F14">
    <cfRule type="cellIs" dxfId="185" priority="2" operator="notEqual">
      <formula>2</formula>
    </cfRule>
  </conditionalFormatting>
  <conditionalFormatting sqref="J19">
    <cfRule type="cellIs" dxfId="184"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9"/>
  <dimension ref="A1:L19"/>
  <sheetViews>
    <sheetView zoomScale="110" zoomScaleNormal="110" workbookViewId="0">
      <pane ySplit="7" topLeftCell="A8"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lt69QMiMmTdZsFGd6Ckxd8QCwZPAa37cxVKS+5ybWAnucflgAx5WNtMD4G96a1qf50Ck8hHeSb3LuHXScRhSIQ==" saltValue="+Wg5uEZmbo3iXrZQ8GwUM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83" priority="3" operator="notEqual">
      <formula>1</formula>
    </cfRule>
  </conditionalFormatting>
  <conditionalFormatting sqref="D19">
    <cfRule type="cellIs" dxfId="182" priority="4" operator="notEqual">
      <formula>1</formula>
    </cfRule>
  </conditionalFormatting>
  <conditionalFormatting sqref="F14">
    <cfRule type="cellIs" dxfId="181" priority="2" operator="notEqual">
      <formula>2</formula>
    </cfRule>
  </conditionalFormatting>
  <conditionalFormatting sqref="J19">
    <cfRule type="cellIs" dxfId="180" priority="1" operator="equal">
      <formula>0</formula>
    </cfRule>
  </conditionalFormatting>
  <dataValidations count="8">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L19"/>
  <sheetViews>
    <sheetView zoomScale="110" zoomScaleNormal="110" workbookViewId="0">
      <pane ySplit="7" topLeftCell="A8"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fERIiqTolhVpWiURQDsP4FdL7WWrmdTYGRcMYTwEApDjG0hDdixl97Rn+aZKnXaCOzt+wgRCETbzjCPefXvMOw==" saltValue="OglXYg9ba59703H350BT/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79" priority="3" operator="notEqual">
      <formula>1</formula>
    </cfRule>
  </conditionalFormatting>
  <conditionalFormatting sqref="D19">
    <cfRule type="cellIs" dxfId="178" priority="4" operator="notEqual">
      <formula>1</formula>
    </cfRule>
  </conditionalFormatting>
  <conditionalFormatting sqref="F14">
    <cfRule type="cellIs" dxfId="177" priority="2" operator="notEqual">
      <formula>2</formula>
    </cfRule>
  </conditionalFormatting>
  <conditionalFormatting sqref="J19">
    <cfRule type="cellIs" dxfId="176"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3"/>
  <dimension ref="A1:L19"/>
  <sheetViews>
    <sheetView zoomScale="110" zoomScaleNormal="110" workbookViewId="0">
      <pane ySplit="7" topLeftCell="A8"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Ppar0hFCkSjkbc1Tf2/txOkikxCKQpbSn3+HjjHluC+zP1L36zp3C6DX0EdreYzYkZTvuR+/PPyCqifsGYsIQQ==" saltValue="5Qhg95iw+TX4HuRY4N7L7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75" priority="3" operator="notEqual">
      <formula>1</formula>
    </cfRule>
  </conditionalFormatting>
  <conditionalFormatting sqref="D19">
    <cfRule type="cellIs" dxfId="174" priority="4" operator="notEqual">
      <formula>1</formula>
    </cfRule>
  </conditionalFormatting>
  <conditionalFormatting sqref="F14">
    <cfRule type="cellIs" dxfId="173" priority="2" operator="notEqual">
      <formula>2</formula>
    </cfRule>
  </conditionalFormatting>
  <conditionalFormatting sqref="J19">
    <cfRule type="cellIs" dxfId="172"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4"/>
  <dimension ref="A1:L19"/>
  <sheetViews>
    <sheetView zoomScale="110" zoomScaleNormal="110" workbookViewId="0">
      <pane ySplit="7" topLeftCell="A8"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U0Fq5PmoJku1f6ZsWIEklnKFQZasfl9hOYjwI2vQkoK2zRgMGPOapvsgkHSGiRzSeHbteB+tGkOmWAav2gwcAg==" saltValue="iHWz+KZ1ArMIOOD85JEzx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71" priority="3" operator="notEqual">
      <formula>1</formula>
    </cfRule>
  </conditionalFormatting>
  <conditionalFormatting sqref="D19">
    <cfRule type="cellIs" dxfId="170" priority="4" operator="notEqual">
      <formula>1</formula>
    </cfRule>
  </conditionalFormatting>
  <conditionalFormatting sqref="F14">
    <cfRule type="cellIs" dxfId="169" priority="2" operator="notEqual">
      <formula>2</formula>
    </cfRule>
  </conditionalFormatting>
  <conditionalFormatting sqref="J19">
    <cfRule type="cellIs" dxfId="168"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5"/>
  <dimension ref="A1:L19"/>
  <sheetViews>
    <sheetView zoomScale="110" zoomScaleNormal="110" workbookViewId="0">
      <pane ySplit="7" topLeftCell="A8" activePane="bottomLeft" state="frozen"/>
      <selection activeCell="B19" sqref="B19"/>
      <selection pane="bottomLeft" activeCell="B19" sqref="B19"/>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s5C1KjqRoykl3Uypkz6beJuq/Gp0dhGiGybVXPVXewlQR/u6DBYFmfCNCyGkMwMDnVKDvNuCuHhN28fVcEjvbw==" saltValue="1rq5DI06gUSHWq22jpAQY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67" priority="3" operator="notEqual">
      <formula>1</formula>
    </cfRule>
  </conditionalFormatting>
  <conditionalFormatting sqref="D19">
    <cfRule type="cellIs" dxfId="166" priority="4" operator="notEqual">
      <formula>1</formula>
    </cfRule>
  </conditionalFormatting>
  <conditionalFormatting sqref="F14">
    <cfRule type="cellIs" dxfId="165" priority="2" operator="notEqual">
      <formula>2</formula>
    </cfRule>
  </conditionalFormatting>
  <conditionalFormatting sqref="J19">
    <cfRule type="cellIs" dxfId="164"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6"/>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2tWFr5XFbEFRp0cKJKSjOdIYaP8lzdMMmOM/qR76P7Akr9xRS7N0+a1Y2tyZrIONKvX3qOVbkDqzMlALQL/KVg==" saltValue="sxH+QnqdV8V39Kb4oHmMZ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63" priority="3" operator="notEqual">
      <formula>1</formula>
    </cfRule>
  </conditionalFormatting>
  <conditionalFormatting sqref="D19">
    <cfRule type="cellIs" dxfId="162" priority="4" operator="notEqual">
      <formula>1</formula>
    </cfRule>
  </conditionalFormatting>
  <conditionalFormatting sqref="F14">
    <cfRule type="cellIs" dxfId="161" priority="2" operator="notEqual">
      <formula>2</formula>
    </cfRule>
  </conditionalFormatting>
  <conditionalFormatting sqref="J19">
    <cfRule type="cellIs" dxfId="160"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7"/>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ZFC8TnSiF9nOKj5TpnGADVQg5H8u1yqLu7hICvVFO67rap+IHI7m5Ps4tHTruu8TsCM6RwhqQFWlOMwHG0FqwA==" saltValue="yQHfwTrgcOvsOuAdccOLX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59" priority="3" operator="notEqual">
      <formula>1</formula>
    </cfRule>
  </conditionalFormatting>
  <conditionalFormatting sqref="D19">
    <cfRule type="cellIs" dxfId="158" priority="4" operator="notEqual">
      <formula>1</formula>
    </cfRule>
  </conditionalFormatting>
  <conditionalFormatting sqref="F14">
    <cfRule type="cellIs" dxfId="157" priority="2" operator="notEqual">
      <formula>2</formula>
    </cfRule>
  </conditionalFormatting>
  <conditionalFormatting sqref="J19">
    <cfRule type="cellIs" dxfId="156"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58"/>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FZtp8JxDiFjUw3NEqrpCf9ez8Q7IYRC5ZMcYFjJElTNIZTxkxsge+rAqFwfjEobhumL/9P21hgmTiJq6vsTFmg==" saltValue="U/zpWWZQq4M29UoRdO0tT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55" priority="3" operator="notEqual">
      <formula>1</formula>
    </cfRule>
  </conditionalFormatting>
  <conditionalFormatting sqref="D19">
    <cfRule type="cellIs" dxfId="154" priority="4" operator="notEqual">
      <formula>1</formula>
    </cfRule>
  </conditionalFormatting>
  <conditionalFormatting sqref="F14">
    <cfRule type="cellIs" dxfId="153" priority="2" operator="notEqual">
      <formula>2</formula>
    </cfRule>
  </conditionalFormatting>
  <conditionalFormatting sqref="J19">
    <cfRule type="cellIs" dxfId="152"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0"/>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BX2UmjZnKHuzZUK3bn7BTVRWIY2XLEeo5/xS3I10I3NKWv+K9OhlEIGbRZM24ApNMMQZQeagY11j9fSnzt7S1A==" saltValue="J7UNdMFyIJRHxGkOvEf+w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51" priority="3" operator="notEqual">
      <formula>1</formula>
    </cfRule>
  </conditionalFormatting>
  <conditionalFormatting sqref="D19">
    <cfRule type="cellIs" dxfId="150" priority="4" operator="notEqual">
      <formula>1</formula>
    </cfRule>
  </conditionalFormatting>
  <conditionalFormatting sqref="F14">
    <cfRule type="cellIs" dxfId="149" priority="2" operator="notEqual">
      <formula>2</formula>
    </cfRule>
  </conditionalFormatting>
  <conditionalFormatting sqref="J19">
    <cfRule type="cellIs" dxfId="148"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1"/>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fiFneRSkL+uibRG7RrDIMTG49d2q/Ad66sjCKQ6a2zwPENXjnIYmuMvz7TdKVNB6ZbAKiiq6aej+BbI3Gkf4WQ==" saltValue="DCa00yYc+rrr0MoARn/Zu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47" priority="3" operator="notEqual">
      <formula>1</formula>
    </cfRule>
  </conditionalFormatting>
  <conditionalFormatting sqref="D19">
    <cfRule type="cellIs" dxfId="146" priority="4" operator="notEqual">
      <formula>1</formula>
    </cfRule>
  </conditionalFormatting>
  <conditionalFormatting sqref="F14">
    <cfRule type="cellIs" dxfId="145" priority="2" operator="notEqual">
      <formula>2</formula>
    </cfRule>
  </conditionalFormatting>
  <conditionalFormatting sqref="J19">
    <cfRule type="cellIs" dxfId="144"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2"/>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6dK4y6D0XaumpgaUlzA1j55OL+O4EpO8CCnDa59AOuXoPdlEbBqNxPz495OlNNuDD6Y2AJmcoRgHYebvB7AATg==" saltValue="abGYTqoIrNjAM2jQ7vrbo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43" priority="3" operator="notEqual">
      <formula>1</formula>
    </cfRule>
  </conditionalFormatting>
  <conditionalFormatting sqref="D19">
    <cfRule type="cellIs" dxfId="142" priority="4" operator="notEqual">
      <formula>1</formula>
    </cfRule>
  </conditionalFormatting>
  <conditionalFormatting sqref="F14">
    <cfRule type="cellIs" dxfId="141" priority="2" operator="notEqual">
      <formula>2</formula>
    </cfRule>
  </conditionalFormatting>
  <conditionalFormatting sqref="J19">
    <cfRule type="cellIs" dxfId="140"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3"/>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vJW/KCGFAvKbBOUwFZhW8AQDgYUojwnJjzmA84HaPFOGiegAjRBLJ3l2ELUuTHo88ONgIhYrT2ucVlXDGPj9GA==" saltValue="rglx2e42WOLkI1Me/6+OV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39" priority="3" operator="notEqual">
      <formula>1</formula>
    </cfRule>
  </conditionalFormatting>
  <conditionalFormatting sqref="D19">
    <cfRule type="cellIs" dxfId="138" priority="4" operator="notEqual">
      <formula>1</formula>
    </cfRule>
  </conditionalFormatting>
  <conditionalFormatting sqref="F14">
    <cfRule type="cellIs" dxfId="137" priority="2" operator="notEqual">
      <formula>2</formula>
    </cfRule>
  </conditionalFormatting>
  <conditionalFormatting sqref="J19">
    <cfRule type="cellIs" dxfId="136"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4"/>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NGAE/Iv00yy0A8ENgUMoWtnGWE+P770I3BG0D6SHIEtuLg5afFtqpIhA8AbMhw/57U6WblSMXMocp/PAvgCWYg==" saltValue="7ScRUn2pdXpkh3YugK7R6g=="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35" priority="3" operator="notEqual">
      <formula>1</formula>
    </cfRule>
  </conditionalFormatting>
  <conditionalFormatting sqref="D19">
    <cfRule type="cellIs" dxfId="134" priority="4" operator="notEqual">
      <formula>1</formula>
    </cfRule>
  </conditionalFormatting>
  <conditionalFormatting sqref="F14">
    <cfRule type="cellIs" dxfId="133" priority="2" operator="notEqual">
      <formula>2</formula>
    </cfRule>
  </conditionalFormatting>
  <conditionalFormatting sqref="J19">
    <cfRule type="cellIs" dxfId="132"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5"/>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dvvACC+kAgQGi6142nflOFJFML0ZIW6R2Rv9wwQ90WwB8UcrC03F7rmxbRuF9qEzn25FpFXYmGuy+R79TJ1ZpQ==" saltValue="vPOKJpejmMR3nB3piB333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31" priority="3" operator="notEqual">
      <formula>1</formula>
    </cfRule>
  </conditionalFormatting>
  <conditionalFormatting sqref="D19">
    <cfRule type="cellIs" dxfId="130" priority="4" operator="notEqual">
      <formula>1</formula>
    </cfRule>
  </conditionalFormatting>
  <conditionalFormatting sqref="F14">
    <cfRule type="cellIs" dxfId="129" priority="2" operator="notEqual">
      <formula>2</formula>
    </cfRule>
  </conditionalFormatting>
  <conditionalFormatting sqref="J19">
    <cfRule type="cellIs" dxfId="128"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6"/>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Wk10fiJ/EJOQ/tpLoDHbVD9vZqUfvcgxQR4JbpDmUwFhipxqY7vVO5WktoCNi6PvnSpmylb4M2A+7mJc1of6GQ==" saltValue="kbVLuHO0+wdEemIpgnbyog=="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27" priority="3" operator="notEqual">
      <formula>1</formula>
    </cfRule>
  </conditionalFormatting>
  <conditionalFormatting sqref="D19">
    <cfRule type="cellIs" dxfId="126" priority="4" operator="notEqual">
      <formula>1</formula>
    </cfRule>
  </conditionalFormatting>
  <conditionalFormatting sqref="F14">
    <cfRule type="cellIs" dxfId="125" priority="2" operator="notEqual">
      <formula>2</formula>
    </cfRule>
  </conditionalFormatting>
  <conditionalFormatting sqref="J19">
    <cfRule type="cellIs" dxfId="124"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67"/>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VE00u1deDDwYdkGV28uZxqPQm1sM1adBBJUBwPvLBx1Vdqcoh6lY7y3tLF2oFoPWhHOcL9Xmq5OoJwHQpP6/6w==" saltValue="tGOx3nYD/CA1JsjYr0m0Q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23" priority="3" operator="notEqual">
      <formula>1</formula>
    </cfRule>
  </conditionalFormatting>
  <conditionalFormatting sqref="D19">
    <cfRule type="cellIs" dxfId="122" priority="4" operator="notEqual">
      <formula>1</formula>
    </cfRule>
  </conditionalFormatting>
  <conditionalFormatting sqref="F14">
    <cfRule type="cellIs" dxfId="121" priority="2" operator="notEqual">
      <formula>2</formula>
    </cfRule>
  </conditionalFormatting>
  <conditionalFormatting sqref="J19">
    <cfRule type="cellIs" dxfId="120"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1"/>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kxCx1jma5CcWhaLFVtLh72JVJVsLQXHZRMd2z8yxDCWLCt7qPLUazMCSUuIGRoJMef0U5w5X48mUPuBILH+wxQ==" saltValue="PC8l8K1Nzho5afGmO+vwa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19" priority="3" operator="notEqual">
      <formula>1</formula>
    </cfRule>
  </conditionalFormatting>
  <conditionalFormatting sqref="D19">
    <cfRule type="cellIs" dxfId="118" priority="4" operator="notEqual">
      <formula>1</formula>
    </cfRule>
  </conditionalFormatting>
  <conditionalFormatting sqref="F14">
    <cfRule type="cellIs" dxfId="117" priority="2" operator="notEqual">
      <formula>2</formula>
    </cfRule>
  </conditionalFormatting>
  <conditionalFormatting sqref="J19">
    <cfRule type="cellIs" dxfId="116"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2"/>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oOS8qVo7fgVGxi7dO/YiIu/we6Y1HYNzftFci2qv3wdDdqozBLKsiLW2rMXQMi4menGODGN205eYtR5zQO7zkg==" saltValue="bw9pxINiwK2zHkNwHXBOQg=="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15" priority="3" operator="notEqual">
      <formula>1</formula>
    </cfRule>
  </conditionalFormatting>
  <conditionalFormatting sqref="D19">
    <cfRule type="cellIs" dxfId="114" priority="4" operator="notEqual">
      <formula>1</formula>
    </cfRule>
  </conditionalFormatting>
  <conditionalFormatting sqref="F14">
    <cfRule type="cellIs" dxfId="113" priority="2" operator="notEqual">
      <formula>2</formula>
    </cfRule>
  </conditionalFormatting>
  <conditionalFormatting sqref="J19">
    <cfRule type="cellIs" dxfId="112"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3"/>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FzA+EYW39PM4yQlLA08WaVwLoEURcq8f3CnY9hsd3v7AkrM78MRiOj3SiaynVf+QsQc26EzpkioEAMXNnHNUBg==" saltValue="RZ+YAmPEwh8OKm7NdmWJE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11" priority="3" operator="notEqual">
      <formula>1</formula>
    </cfRule>
  </conditionalFormatting>
  <conditionalFormatting sqref="D19">
    <cfRule type="cellIs" dxfId="110" priority="4" operator="notEqual">
      <formula>1</formula>
    </cfRule>
  </conditionalFormatting>
  <conditionalFormatting sqref="F14">
    <cfRule type="cellIs" dxfId="109" priority="2" operator="notEqual">
      <formula>2</formula>
    </cfRule>
  </conditionalFormatting>
  <conditionalFormatting sqref="J19">
    <cfRule type="cellIs" dxfId="108"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4"/>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P+YmLi8RCpWEh6Szm8xAEtTuWR6ZIMbGemiCx5uoNHZ1Q47XGMjiA2KJPm3VFsangb9RayFNUggALJl2Rk7vnA==" saltValue="yT9+GBpG2/rSOuIouaPdV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07" priority="3" operator="notEqual">
      <formula>1</formula>
    </cfRule>
  </conditionalFormatting>
  <conditionalFormatting sqref="D19">
    <cfRule type="cellIs" dxfId="106" priority="4" operator="notEqual">
      <formula>1</formula>
    </cfRule>
  </conditionalFormatting>
  <conditionalFormatting sqref="F14">
    <cfRule type="cellIs" dxfId="105" priority="2" operator="notEqual">
      <formula>2</formula>
    </cfRule>
  </conditionalFormatting>
  <conditionalFormatting sqref="J19">
    <cfRule type="cellIs" dxfId="104"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5"/>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gMkBk5d4dZTPTULh8xnX6J1wtRX3W9/7A9cHW5t7itQnQAjCZFMb/b/mvqzgf9mJRXAxkfdOOwFydCfYuXpC2g==" saltValue="zi8UctyeeZU+dMixZLl1I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103" priority="3" operator="notEqual">
      <formula>1</formula>
    </cfRule>
  </conditionalFormatting>
  <conditionalFormatting sqref="D19">
    <cfRule type="cellIs" dxfId="102" priority="4" operator="notEqual">
      <formula>1</formula>
    </cfRule>
  </conditionalFormatting>
  <conditionalFormatting sqref="F14">
    <cfRule type="cellIs" dxfId="101" priority="2" operator="notEqual">
      <formula>2</formula>
    </cfRule>
  </conditionalFormatting>
  <conditionalFormatting sqref="J19">
    <cfRule type="cellIs" dxfId="100"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6"/>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NWRk65ii2U8DgmUBRg02zyOGB367oNQzSgzh24iTBenaEI3OQE2UH3q2XiJSI2Wv4NO5cxQK5+y6dfY0se6WPw==" saltValue="Rg6KjH1TKZo9uoraeDYuJ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99" priority="3" operator="notEqual">
      <formula>1</formula>
    </cfRule>
  </conditionalFormatting>
  <conditionalFormatting sqref="D19">
    <cfRule type="cellIs" dxfId="98" priority="4" operator="notEqual">
      <formula>1</formula>
    </cfRule>
  </conditionalFormatting>
  <conditionalFormatting sqref="F14">
    <cfRule type="cellIs" dxfId="97" priority="2" operator="notEqual">
      <formula>2</formula>
    </cfRule>
  </conditionalFormatting>
  <conditionalFormatting sqref="J19">
    <cfRule type="cellIs" dxfId="96"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7"/>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eI/aancGkyZ+S7qLftMfANY/xKl1RxkzjRpat61/g4XNgqqPFjXWSEHTupx3F79Vegtx47G9SA6NRfFKdiG+gg==" saltValue="ZHFrwFDANqpU8OF+LgB7Zw=="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95" priority="3" operator="notEqual">
      <formula>1</formula>
    </cfRule>
  </conditionalFormatting>
  <conditionalFormatting sqref="D19">
    <cfRule type="cellIs" dxfId="94" priority="4" operator="notEqual">
      <formula>1</formula>
    </cfRule>
  </conditionalFormatting>
  <conditionalFormatting sqref="F14">
    <cfRule type="cellIs" dxfId="93" priority="2" operator="notEqual">
      <formula>2</formula>
    </cfRule>
  </conditionalFormatting>
  <conditionalFormatting sqref="J19">
    <cfRule type="cellIs" dxfId="92"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8"/>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CaaoXjASNBpPM8eg3+B7d1oIjnayvHc3On13SPbfm5x0itzULSav1ZKn/59g7qOVlVo9xxxqOAZ4glyyMOjpKQ==" saltValue="i8TwWyI42iIx2KAbUwhGVQ=="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91" priority="3" operator="notEqual">
      <formula>1</formula>
    </cfRule>
  </conditionalFormatting>
  <conditionalFormatting sqref="D19">
    <cfRule type="cellIs" dxfId="90" priority="4" operator="notEqual">
      <formula>1</formula>
    </cfRule>
  </conditionalFormatting>
  <conditionalFormatting sqref="F14">
    <cfRule type="cellIs" dxfId="89" priority="2" operator="notEqual">
      <formula>2</formula>
    </cfRule>
  </conditionalFormatting>
  <conditionalFormatting sqref="J19">
    <cfRule type="cellIs" dxfId="88"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9"/>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IoAALMRGCXGKnuDfE97tqeh0etIMabj25QfyYMEb4pO8JNO27bTpnRO7YxA4djl9sRAm4ooN8VJ3h0vSm9uduQ==" saltValue="9LSBFrW9UC8d2mGS9BP0Hg=="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87" priority="3" operator="notEqual">
      <formula>1</formula>
    </cfRule>
  </conditionalFormatting>
  <conditionalFormatting sqref="D19">
    <cfRule type="cellIs" dxfId="86" priority="4" operator="notEqual">
      <formula>1</formula>
    </cfRule>
  </conditionalFormatting>
  <conditionalFormatting sqref="F14">
    <cfRule type="cellIs" dxfId="85" priority="2" operator="notEqual">
      <formula>2</formula>
    </cfRule>
  </conditionalFormatting>
  <conditionalFormatting sqref="J19">
    <cfRule type="cellIs" dxfId="84"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0"/>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6gPasKyCjG3NckM11MwVdwf4VRbjUEOrG8dDPPh8fqiHUaygkcuB91qDvIlERNkvGavMn8+9EXr42ud7QmPL7A==" saltValue="4RzRaDYfKa5K2DMBmHeQwg=="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83" priority="3" operator="notEqual">
      <formula>1</formula>
    </cfRule>
  </conditionalFormatting>
  <conditionalFormatting sqref="D19">
    <cfRule type="cellIs" dxfId="82" priority="4" operator="notEqual">
      <formula>1</formula>
    </cfRule>
  </conditionalFormatting>
  <conditionalFormatting sqref="F14">
    <cfRule type="cellIs" dxfId="81" priority="2" operator="notEqual">
      <formula>2</formula>
    </cfRule>
  </conditionalFormatting>
  <conditionalFormatting sqref="J19">
    <cfRule type="cellIs" dxfId="80"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1"/>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I3pAVd3EjO8BYwIhZsghjyvExp8GrFdN4Xri38vABPwAnOApXYqnBpKx1zpDVWMeWERtW8C+vtdS1WcDO0AJVA==" saltValue="Wr61oBSkIDYOIZ5NsajUpA==" spinCount="100000" sheet="1" objects="1" scenarios="1"/>
  <mergeCells count="18">
    <mergeCell ref="C8:J8"/>
    <mergeCell ref="C9:J9"/>
    <mergeCell ref="A4:B4"/>
    <mergeCell ref="C4:J4"/>
    <mergeCell ref="A6:B6"/>
    <mergeCell ref="C6:E6"/>
    <mergeCell ref="I6:J6"/>
    <mergeCell ref="C7:J7"/>
    <mergeCell ref="A7:B7"/>
    <mergeCell ref="A8:B8"/>
    <mergeCell ref="A9:B9"/>
    <mergeCell ref="A1:B1"/>
    <mergeCell ref="A2:B2"/>
    <mergeCell ref="A3:B3"/>
    <mergeCell ref="C3:J3"/>
    <mergeCell ref="C1:H1"/>
    <mergeCell ref="I1:J1"/>
    <mergeCell ref="C2:H2"/>
  </mergeCells>
  <conditionalFormatting sqref="F13">
    <cfRule type="cellIs" dxfId="79" priority="3" operator="notEqual">
      <formula>1</formula>
    </cfRule>
  </conditionalFormatting>
  <conditionalFormatting sqref="D19">
    <cfRule type="cellIs" dxfId="78" priority="4" operator="notEqual">
      <formula>1</formula>
    </cfRule>
  </conditionalFormatting>
  <conditionalFormatting sqref="F14">
    <cfRule type="cellIs" dxfId="77" priority="2" operator="notEqual">
      <formula>2</formula>
    </cfRule>
  </conditionalFormatting>
  <conditionalFormatting sqref="J19">
    <cfRule type="cellIs" dxfId="76"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2"/>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JicETBH5MFdL2BnpoShcCy3f/WQWzq/sWNEBsvptdPprOQLzA3kN7+ubzoCthBGn9rT0Y+8gX+HKx3Uru4fPEg==" saltValue="abiAH001WD6W1zwCW15jn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75" priority="3" operator="notEqual">
      <formula>1</formula>
    </cfRule>
  </conditionalFormatting>
  <conditionalFormatting sqref="D19">
    <cfRule type="cellIs" dxfId="74" priority="4" operator="notEqual">
      <formula>1</formula>
    </cfRule>
  </conditionalFormatting>
  <conditionalFormatting sqref="F14">
    <cfRule type="cellIs" dxfId="73" priority="2" operator="notEqual">
      <formula>2</formula>
    </cfRule>
  </conditionalFormatting>
  <conditionalFormatting sqref="J19">
    <cfRule type="cellIs" dxfId="72"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3"/>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QvRdEpc8/+RUHxZt0RTifD5hqEDaa/qNG1v2f36+OodlQL5WqWPCZWOQSKmLNm8KbpNrxhJ+QP2VAu2BCM7w4A==" saltValue="8BbpBTjglYFENE/pJSWPY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71" priority="3" operator="notEqual">
      <formula>1</formula>
    </cfRule>
  </conditionalFormatting>
  <conditionalFormatting sqref="D19">
    <cfRule type="cellIs" dxfId="70" priority="4" operator="notEqual">
      <formula>1</formula>
    </cfRule>
  </conditionalFormatting>
  <conditionalFormatting sqref="F14">
    <cfRule type="cellIs" dxfId="69" priority="2" operator="notEqual">
      <formula>2</formula>
    </cfRule>
  </conditionalFormatting>
  <conditionalFormatting sqref="J19">
    <cfRule type="cellIs" dxfId="68"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4"/>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DhZ/68ppivCCp7kqhO2BpqoAZBMEVhFUycYSRzXaUaYq9McKmmjAMzXfkTP72n3uojeT6Is3ANMlWRtQn3Sseg==" saltValue="ICu5NsNsZTkCVE55/kNkf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67" priority="3" operator="notEqual">
      <formula>1</formula>
    </cfRule>
  </conditionalFormatting>
  <conditionalFormatting sqref="D19">
    <cfRule type="cellIs" dxfId="66" priority="4" operator="notEqual">
      <formula>1</formula>
    </cfRule>
  </conditionalFormatting>
  <conditionalFormatting sqref="F14">
    <cfRule type="cellIs" dxfId="65" priority="2" operator="notEqual">
      <formula>2</formula>
    </cfRule>
  </conditionalFormatting>
  <conditionalFormatting sqref="J19">
    <cfRule type="cellIs" dxfId="64"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5"/>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S0vR/GF7BmUcY6RhMMuoEImHctmzGUvxGHOFewaxmR5WdMekDmHZZr9DZvXUflzWUkr1W/OdakwfnKc4QecdkQ==" saltValue="bRed08txxXVfIIT75QD/d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63" priority="3" operator="notEqual">
      <formula>1</formula>
    </cfRule>
  </conditionalFormatting>
  <conditionalFormatting sqref="D19">
    <cfRule type="cellIs" dxfId="62" priority="4" operator="notEqual">
      <formula>1</formula>
    </cfRule>
  </conditionalFormatting>
  <conditionalFormatting sqref="F14">
    <cfRule type="cellIs" dxfId="61" priority="2" operator="notEqual">
      <formula>2</formula>
    </cfRule>
  </conditionalFormatting>
  <conditionalFormatting sqref="J19">
    <cfRule type="cellIs" dxfId="60"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6"/>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rtQhIDMfTRl3OXG/vJUSZL414vBJcOHW797iq622bNVgBOeF8zZLtpf8qOq/3BGTifgADsnYyu3XKB7sdtjPlQ==" saltValue="f+N1GJz3av4NPY/qp8Us4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59" priority="3" operator="notEqual">
      <formula>1</formula>
    </cfRule>
  </conditionalFormatting>
  <conditionalFormatting sqref="D19">
    <cfRule type="cellIs" dxfId="58" priority="4" operator="notEqual">
      <formula>1</formula>
    </cfRule>
  </conditionalFormatting>
  <conditionalFormatting sqref="F14">
    <cfRule type="cellIs" dxfId="57" priority="2" operator="notEqual">
      <formula>2</formula>
    </cfRule>
  </conditionalFormatting>
  <conditionalFormatting sqref="J19">
    <cfRule type="cellIs" dxfId="56"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7"/>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iNfuCMMuP+wjgB2icwWZHcalmX7Sfmip2DiRpAR43FTjIXrVzV5i/M5bU9YzSORTBJPid0jduc81rRQvkK9ceg==" saltValue="L2ex2MeEz+cVL3yE1/61g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55" priority="3" operator="notEqual">
      <formula>1</formula>
    </cfRule>
  </conditionalFormatting>
  <conditionalFormatting sqref="D19">
    <cfRule type="cellIs" dxfId="54" priority="4" operator="notEqual">
      <formula>1</formula>
    </cfRule>
  </conditionalFormatting>
  <conditionalFormatting sqref="F14">
    <cfRule type="cellIs" dxfId="53" priority="2" operator="notEqual">
      <formula>2</formula>
    </cfRule>
  </conditionalFormatting>
  <conditionalFormatting sqref="J19">
    <cfRule type="cellIs" dxfId="52"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8"/>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cyH8e608UyezKsIaOovYmmraaSBwBpxXRo99z5gCi50om2PZNh6XT89fOalxpHpSutk7ZqkU2/s8ycwkpHVbKg==" saltValue="qmC0mHV9Atnbryk1NI7ho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51" priority="3" operator="notEqual">
      <formula>1</formula>
    </cfRule>
  </conditionalFormatting>
  <conditionalFormatting sqref="D19">
    <cfRule type="cellIs" dxfId="50" priority="4" operator="notEqual">
      <formula>1</formula>
    </cfRule>
  </conditionalFormatting>
  <conditionalFormatting sqref="F14">
    <cfRule type="cellIs" dxfId="49" priority="2" operator="notEqual">
      <formula>2</formula>
    </cfRule>
  </conditionalFormatting>
  <conditionalFormatting sqref="J19">
    <cfRule type="cellIs" dxfId="48"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9"/>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DTYCnDlMjFOktpey494NjqctxMOJJsRLc7GOZWdU83J6I0+F7yNr3YBG5HaeWwvEaxYaZEUxGdvkpYgFnHwGqg==" saltValue="6C8k5PCtTlhE4n5UJlolZ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47" priority="3" operator="notEqual">
      <formula>1</formula>
    </cfRule>
  </conditionalFormatting>
  <conditionalFormatting sqref="D19">
    <cfRule type="cellIs" dxfId="46" priority="4" operator="notEqual">
      <formula>1</formula>
    </cfRule>
  </conditionalFormatting>
  <conditionalFormatting sqref="F14">
    <cfRule type="cellIs" dxfId="45" priority="2" operator="notEqual">
      <formula>2</formula>
    </cfRule>
  </conditionalFormatting>
  <conditionalFormatting sqref="J19">
    <cfRule type="cellIs" dxfId="44"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0"/>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6suMz61Lgvx6OoditVT+brM4ekcFtIleEgkyvaZAX8zNDAqiwjtK2nBYbucj/qQ51FBBA6Gy/2D7TgOsyKik1w==" saltValue="reMqQj9ATYT1KIhZUCxzKg=="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43" priority="3" operator="notEqual">
      <formula>1</formula>
    </cfRule>
  </conditionalFormatting>
  <conditionalFormatting sqref="D19">
    <cfRule type="cellIs" dxfId="42" priority="4" operator="notEqual">
      <formula>1</formula>
    </cfRule>
  </conditionalFormatting>
  <conditionalFormatting sqref="F14">
    <cfRule type="cellIs" dxfId="41" priority="2" operator="notEqual">
      <formula>2</formula>
    </cfRule>
  </conditionalFormatting>
  <conditionalFormatting sqref="J19">
    <cfRule type="cellIs" dxfId="40"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1"/>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kszKyBLa1ATmgI1ZWv+J/qd2ikbdFlzoAVm3yH8t1BkMEm1tu3Q3MIA4utjsrQEdbo7P62EXtgilA110z9zbIw==" saltValue="6IHoIKvrKhbaCq9QHcXH4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39" priority="3" operator="notEqual">
      <formula>1</formula>
    </cfRule>
  </conditionalFormatting>
  <conditionalFormatting sqref="D19">
    <cfRule type="cellIs" dxfId="38" priority="4" operator="notEqual">
      <formula>1</formula>
    </cfRule>
  </conditionalFormatting>
  <conditionalFormatting sqref="F14">
    <cfRule type="cellIs" dxfId="37" priority="2" operator="notEqual">
      <formula>2</formula>
    </cfRule>
  </conditionalFormatting>
  <conditionalFormatting sqref="J19">
    <cfRule type="cellIs" dxfId="36"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2"/>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I6Hsxd/NfTIPlVOomKWSc2jj/w7khVwc4FZgbzxafZQl7vVHIPki4+ZFKYCq8xzFDnpUuOBzxjc300P/VovZ+A==" saltValue="shQ9g6KzcMI57IhF0+XOuw=="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35" priority="3" operator="notEqual">
      <formula>1</formula>
    </cfRule>
  </conditionalFormatting>
  <conditionalFormatting sqref="D19">
    <cfRule type="cellIs" dxfId="34" priority="4" operator="notEqual">
      <formula>1</formula>
    </cfRule>
  </conditionalFormatting>
  <conditionalFormatting sqref="F14">
    <cfRule type="cellIs" dxfId="33" priority="2" operator="notEqual">
      <formula>2</formula>
    </cfRule>
  </conditionalFormatting>
  <conditionalFormatting sqref="J19">
    <cfRule type="cellIs" dxfId="32"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3"/>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hILTo1bpsx36zFb35jd5007xv/7fHNQXG0kRhtCVkSyTOhbwM8M9bcdSOJE12Tzrdfu/Y+dyrgF7qysZsJRuRw==" saltValue="dODlk8d1LjpVQSXUf9vgO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31" priority="3" operator="notEqual">
      <formula>1</formula>
    </cfRule>
  </conditionalFormatting>
  <conditionalFormatting sqref="D19">
    <cfRule type="cellIs" dxfId="30" priority="4" operator="notEqual">
      <formula>1</formula>
    </cfRule>
  </conditionalFormatting>
  <conditionalFormatting sqref="F14">
    <cfRule type="cellIs" dxfId="29" priority="2" operator="notEqual">
      <formula>2</formula>
    </cfRule>
  </conditionalFormatting>
  <conditionalFormatting sqref="J19">
    <cfRule type="cellIs" dxfId="28"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4"/>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oA+T9OFI9eyLOTqkIYDsYHevfa5dozd/j2va/XOnz+F8ONWW0D7vp5VECmQw3HynLwZbRsbpQldwmUgJlPNo1w==" saltValue="d32p7/Exm9zkrDCVBwbLF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27" priority="3" operator="notEqual">
      <formula>1</formula>
    </cfRule>
  </conditionalFormatting>
  <conditionalFormatting sqref="D19">
    <cfRule type="cellIs" dxfId="26" priority="4" operator="notEqual">
      <formula>1</formula>
    </cfRule>
  </conditionalFormatting>
  <conditionalFormatting sqref="F14">
    <cfRule type="cellIs" dxfId="25" priority="2" operator="notEqual">
      <formula>2</formula>
    </cfRule>
  </conditionalFormatting>
  <conditionalFormatting sqref="J19">
    <cfRule type="cellIs" dxfId="24"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5"/>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ff/amgynGLvJV/uk0kjmHMhA/eqy6QuufHlF4U6Chvbe2BI5ii4ffj8hc4uMvZkz3Gt9q5BXLyDH+7uxUQ8ihA==" saltValue="mnXg6H5JPsqMXBkKuY4/7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23" priority="3" operator="notEqual">
      <formula>1</formula>
    </cfRule>
  </conditionalFormatting>
  <conditionalFormatting sqref="D19">
    <cfRule type="cellIs" dxfId="22" priority="4" operator="notEqual">
      <formula>1</formula>
    </cfRule>
  </conditionalFormatting>
  <conditionalFormatting sqref="F14">
    <cfRule type="cellIs" dxfId="21" priority="2" operator="notEqual">
      <formula>2</formula>
    </cfRule>
  </conditionalFormatting>
  <conditionalFormatting sqref="J19">
    <cfRule type="cellIs" dxfId="20"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6"/>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u38iXWZf3HPlaojBOLHx0PeKAF2AJgl1tKJxR+bk44ZJOgxVIzQBTrtM91J6KjFJp1D6X5u0ohxKQQLB9njErw==" saltValue="1Q6KRScXx7p/gssjlY8ui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9" priority="3" operator="notEqual">
      <formula>1</formula>
    </cfRule>
  </conditionalFormatting>
  <conditionalFormatting sqref="D19">
    <cfRule type="cellIs" dxfId="18" priority="4" operator="notEqual">
      <formula>1</formula>
    </cfRule>
  </conditionalFormatting>
  <conditionalFormatting sqref="F14">
    <cfRule type="cellIs" dxfId="17" priority="2" operator="notEqual">
      <formula>2</formula>
    </cfRule>
  </conditionalFormatting>
  <conditionalFormatting sqref="J19">
    <cfRule type="cellIs" dxfId="16"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7"/>
  <dimension ref="A1:L19"/>
  <sheetViews>
    <sheetView zoomScale="110" zoomScaleNormal="110" workbookViewId="0">
      <pane ySplit="7" topLeftCell="A8" activePane="bottomLeft" state="frozen"/>
      <selection activeCell="K1" sqref="K1"/>
      <selection pane="bottomLeft" sqref="A1:B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3zpmvAiTNJhTekq1wmI4cSKoJqm+Yk6KnU6Dynd9j2efDNlhrULmbGNVCYxbx6GYUpEO6D5WLFCzbwBbbH9mGQ==" saltValue="Jzve5lV+fcRyL0bBpbJQKA=="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F13">
    <cfRule type="cellIs" dxfId="15" priority="3" operator="notEqual">
      <formula>1</formula>
    </cfRule>
  </conditionalFormatting>
  <conditionalFormatting sqref="D19">
    <cfRule type="cellIs" dxfId="14" priority="4" operator="notEqual">
      <formula>1</formula>
    </cfRule>
  </conditionalFormatting>
  <conditionalFormatting sqref="F14">
    <cfRule type="cellIs" dxfId="13" priority="2" operator="notEqual">
      <formula>2</formula>
    </cfRule>
  </conditionalFormatting>
  <conditionalFormatting sqref="J19">
    <cfRule type="cellIs" dxfId="12"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8"/>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w2S52lql6DlmNsXWLQPSuKtjBLLG2zw20ceNgDatZT8X+irxEW6G5LmCdLcVmeq9WDiZ7oLC3vLCZ/X1M40Mug==" saltValue="B1xtBcj7m9717CvArtxWmQ==" spinCount="100000" sheet="1" objects="1" scenarios="1"/>
  <mergeCells count="18">
    <mergeCell ref="A1:B1"/>
    <mergeCell ref="A2:B2"/>
    <mergeCell ref="A3:B3"/>
    <mergeCell ref="C3:J3"/>
    <mergeCell ref="A4:B4"/>
    <mergeCell ref="C4:J4"/>
    <mergeCell ref="C1:H1"/>
    <mergeCell ref="I1:J1"/>
    <mergeCell ref="A8:B8"/>
    <mergeCell ref="A9:B9"/>
    <mergeCell ref="C2:H2"/>
    <mergeCell ref="C8:J8"/>
    <mergeCell ref="C9:J9"/>
    <mergeCell ref="A6:B6"/>
    <mergeCell ref="C6:E6"/>
    <mergeCell ref="I6:J6"/>
    <mergeCell ref="C7:J7"/>
    <mergeCell ref="A7:B7"/>
  </mergeCells>
  <conditionalFormatting sqref="D19">
    <cfRule type="cellIs" dxfId="11" priority="4" operator="notEqual">
      <formula>1</formula>
    </cfRule>
  </conditionalFormatting>
  <conditionalFormatting sqref="F13">
    <cfRule type="cellIs" dxfId="10" priority="3" operator="notEqual">
      <formula>1</formula>
    </cfRule>
  </conditionalFormatting>
  <conditionalFormatting sqref="F14">
    <cfRule type="cellIs" dxfId="9" priority="2" operator="notEqual">
      <formula>2</formula>
    </cfRule>
  </conditionalFormatting>
  <conditionalFormatting sqref="J19">
    <cfRule type="cellIs" dxfId="8"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9"/>
  <dimension ref="A1:L19"/>
  <sheetViews>
    <sheetView zoomScale="110" zoomScaleNormal="110" workbookViewId="0">
      <pane ySplit="7" topLeftCell="A8" activePane="bottomLeft" state="frozen"/>
      <selection activeCell="K1" sqref="K1"/>
      <selection pane="bottomLeft" activeCell="K1" sqref="K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YNBBIjNHc+TzkXFSAtBevciHZBhQTUil5v/svjwZvXj0BC308VgF2jT7Yxr5q0JzuTyT9Dd3Wt0QBS/+rBG64A==" saltValue="1y5DMHiOEQ+j7Wq/fUA7JQ==" spinCount="100000" sheet="1" objects="1" scenarios="1"/>
  <mergeCells count="18">
    <mergeCell ref="A3:B3"/>
    <mergeCell ref="C3:J3"/>
    <mergeCell ref="A1:B1"/>
    <mergeCell ref="C1:H1"/>
    <mergeCell ref="I1:J1"/>
    <mergeCell ref="A2:B2"/>
    <mergeCell ref="C2:H2"/>
    <mergeCell ref="A8:B8"/>
    <mergeCell ref="C8:J8"/>
    <mergeCell ref="A9:B9"/>
    <mergeCell ref="C9:J9"/>
    <mergeCell ref="A4:B4"/>
    <mergeCell ref="C4:J4"/>
    <mergeCell ref="A6:B6"/>
    <mergeCell ref="C6:E6"/>
    <mergeCell ref="I6:J6"/>
    <mergeCell ref="A7:B7"/>
    <mergeCell ref="C7:J7"/>
  </mergeCells>
  <conditionalFormatting sqref="D19">
    <cfRule type="cellIs" dxfId="7" priority="4" operator="notEqual">
      <formula>1</formula>
    </cfRule>
  </conditionalFormatting>
  <conditionalFormatting sqref="F13">
    <cfRule type="cellIs" dxfId="6" priority="3" operator="notEqual">
      <formula>1</formula>
    </cfRule>
  </conditionalFormatting>
  <conditionalFormatting sqref="F14">
    <cfRule type="cellIs" dxfId="5" priority="2" operator="notEqual">
      <formula>2</formula>
    </cfRule>
  </conditionalFormatting>
  <conditionalFormatting sqref="J19">
    <cfRule type="cellIs" dxfId="4" priority="1" operator="equal">
      <formula>0</formula>
    </cfRule>
  </conditionalFormatting>
  <dataValidations count="8">
    <dataValidation type="whole" allowBlank="1" showInputMessage="1" showErrorMessage="1" errorTitle="VALOR NO NUMÉRICO" error="Debes introducir un valor numérico." sqref="F15:F18 H12:H18">
      <formula1>0</formula1>
      <formula2>1000</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ERROR" error="Valores permitidos:_x000a_0 o 1" sqref="F13">
      <formula1>0</formula1>
      <formula2>1</formula2>
    </dataValidation>
    <dataValidation type="decimal" allowBlank="1" showInputMessage="1" showErrorMessage="1" errorTitle="ERROR" error="Debes introducir un valor numérico._x000a_Entre 10 y 40." sqref="D15:D18">
      <formula1>0.1</formula1>
      <formula2>0.4</formula2>
    </dataValidation>
    <dataValidation type="list" allowBlank="1" showInputMessage="1" showErrorMessage="1" sqref="E12:E18">
      <formula1>"Número,Porcentaje"</formula1>
    </dataValidation>
    <dataValidation type="list" allowBlank="1" showInputMessage="1" showErrorMessage="1" sqref="G12:G18">
      <formula1>"Alza,Baja"</formula1>
    </dataValidation>
    <dataValidation type="list" allowBlank="1" showInputMessage="1" showErrorMessage="1" sqref="K12">
      <formula1>"SÍ,NO"</formula1>
    </dataValidation>
    <dataValidation type="list" allowBlank="1" showInputMessage="1" showErrorMessage="1" sqref="C12:C18">
      <formula1>"Individual,Colectivo"</formula1>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0"/>
  <dimension ref="A1:L19"/>
  <sheetViews>
    <sheetView zoomScale="110" zoomScaleNormal="110" workbookViewId="0">
      <pane ySplit="7" topLeftCell="A8" activePane="bottomLeft" state="frozen"/>
      <selection activeCell="K1" sqref="K1"/>
      <selection pane="bottomLeft" sqref="A1:B1"/>
    </sheetView>
  </sheetViews>
  <sheetFormatPr baseColWidth="10" defaultColWidth="9" defaultRowHeight="12" x14ac:dyDescent="0.25"/>
  <cols>
    <col min="1" max="1" width="2.5703125" style="5" customWidth="1"/>
    <col min="2" max="2" width="37.5703125" style="5" customWidth="1"/>
    <col min="3" max="3" width="17" style="5" bestFit="1" customWidth="1"/>
    <col min="4" max="4" width="12.5703125" style="5" customWidth="1"/>
    <col min="5" max="5" width="15.5703125" style="5" customWidth="1"/>
    <col min="6" max="6" width="9.7109375" style="5" customWidth="1"/>
    <col min="7" max="7" width="16.5703125" style="5" customWidth="1"/>
    <col min="8" max="8" width="9" style="5"/>
    <col min="9" max="9" width="10.5703125" style="5" customWidth="1"/>
    <col min="10" max="10" width="10.140625" style="5" customWidth="1"/>
    <col min="11" max="16384" width="9" style="5"/>
  </cols>
  <sheetData>
    <row r="1" spans="1:12" ht="15" customHeight="1" x14ac:dyDescent="0.25">
      <c r="A1" s="74" t="s">
        <v>28</v>
      </c>
      <c r="B1" s="74"/>
      <c r="C1" s="81" t="str">
        <f>IF(ISBLANK('Supervis@r1'!$C$1),"",'Supervis@r1'!$C$1)</f>
        <v>SERVICIOS OPERATIVOS</v>
      </c>
      <c r="D1" s="82"/>
      <c r="E1" s="82"/>
      <c r="F1" s="82"/>
      <c r="G1" s="82"/>
      <c r="H1" s="83"/>
      <c r="I1" s="63" t="s">
        <v>44</v>
      </c>
      <c r="J1" s="64"/>
    </row>
    <row r="2" spans="1:12" ht="15" customHeight="1" x14ac:dyDescent="0.25">
      <c r="A2" s="75" t="s">
        <v>24</v>
      </c>
      <c r="B2" s="75"/>
      <c r="C2" s="81" t="str">
        <f>IF(ISBLANK('Supervis@r1'!$C$2),"",'Supervis@r1'!$C$2)</f>
        <v>ADMINISTRACION</v>
      </c>
      <c r="D2" s="82"/>
      <c r="E2" s="82"/>
      <c r="F2" s="82"/>
      <c r="G2" s="82"/>
      <c r="H2" s="83"/>
      <c r="I2" s="38">
        <f>'Supervis@r1'!$I$2</f>
        <v>2025</v>
      </c>
      <c r="J2" s="38">
        <f>'Supervis@r1'!$J$2</f>
        <v>2026</v>
      </c>
    </row>
    <row r="3" spans="1:12" ht="15.75" customHeight="1" x14ac:dyDescent="0.25">
      <c r="A3" s="75" t="s">
        <v>0</v>
      </c>
      <c r="B3" s="75"/>
      <c r="C3" s="84" t="str">
        <f>IF(ISBLANK('Supervis@r1'!$C$3),"",CONCATENATE('Supervis@r1'!$C$3," ",'Supervis@r1'!$C$4,",",'Supervis@r1'!$C$5))</f>
        <v>JEFE JEFE,JOSE</v>
      </c>
      <c r="D3" s="84"/>
      <c r="E3" s="84"/>
      <c r="F3" s="84"/>
      <c r="G3" s="84"/>
      <c r="H3" s="84"/>
      <c r="I3" s="84"/>
      <c r="J3" s="84"/>
    </row>
    <row r="4" spans="1:12" ht="15.75" customHeight="1" x14ac:dyDescent="0.25">
      <c r="A4" s="75" t="s">
        <v>25</v>
      </c>
      <c r="B4" s="75"/>
      <c r="C4" s="71"/>
      <c r="D4" s="71"/>
      <c r="E4" s="71"/>
      <c r="F4" s="71"/>
      <c r="G4" s="71"/>
      <c r="H4" s="71"/>
      <c r="I4" s="71"/>
      <c r="J4" s="71"/>
    </row>
    <row r="5" spans="1:12" x14ac:dyDescent="0.25">
      <c r="B5" s="6"/>
    </row>
    <row r="6" spans="1:12" ht="16.5" customHeight="1" x14ac:dyDescent="0.25">
      <c r="A6" s="62" t="s">
        <v>11</v>
      </c>
      <c r="B6" s="62"/>
      <c r="C6" s="71"/>
      <c r="D6" s="71"/>
      <c r="E6" s="71"/>
      <c r="F6" s="20" t="s">
        <v>17</v>
      </c>
      <c r="G6" s="21"/>
      <c r="H6" s="20" t="s">
        <v>26</v>
      </c>
      <c r="I6" s="79" t="s">
        <v>30</v>
      </c>
      <c r="J6" s="79"/>
    </row>
    <row r="7" spans="1:12" ht="16.5" customHeight="1" x14ac:dyDescent="0.25">
      <c r="A7" s="80" t="s">
        <v>38</v>
      </c>
      <c r="B7" s="80"/>
      <c r="C7" s="71"/>
      <c r="D7" s="71"/>
      <c r="E7" s="71"/>
      <c r="F7" s="71"/>
      <c r="G7" s="71"/>
      <c r="H7" s="71"/>
      <c r="I7" s="71"/>
      <c r="J7" s="71"/>
    </row>
    <row r="8" spans="1:12" ht="16.5" customHeight="1" x14ac:dyDescent="0.25">
      <c r="A8" s="80" t="s">
        <v>39</v>
      </c>
      <c r="B8" s="80"/>
      <c r="C8" s="71"/>
      <c r="D8" s="71"/>
      <c r="E8" s="71"/>
      <c r="F8" s="71"/>
      <c r="G8" s="71"/>
      <c r="H8" s="71"/>
      <c r="I8" s="71"/>
      <c r="J8" s="71"/>
    </row>
    <row r="9" spans="1:12" ht="16.5" customHeight="1" x14ac:dyDescent="0.25">
      <c r="A9" s="80" t="s">
        <v>40</v>
      </c>
      <c r="B9" s="80"/>
      <c r="C9" s="71"/>
      <c r="D9" s="71"/>
      <c r="E9" s="71"/>
      <c r="F9" s="71"/>
      <c r="G9" s="71"/>
      <c r="H9" s="71"/>
      <c r="I9" s="71"/>
      <c r="J9" s="71"/>
    </row>
    <row r="11" spans="1:12" s="7" customFormat="1" ht="51" customHeight="1" x14ac:dyDescent="0.25">
      <c r="A11" s="20" t="s">
        <v>1</v>
      </c>
      <c r="B11" s="22" t="s">
        <v>4</v>
      </c>
      <c r="C11" s="22" t="s">
        <v>5</v>
      </c>
      <c r="D11" s="22" t="s">
        <v>6</v>
      </c>
      <c r="E11" s="22" t="s">
        <v>12</v>
      </c>
      <c r="F11" s="22" t="s">
        <v>7</v>
      </c>
      <c r="G11" s="22" t="s">
        <v>8</v>
      </c>
      <c r="H11" s="20" t="s">
        <v>3</v>
      </c>
      <c r="I11" s="12" t="s">
        <v>9</v>
      </c>
      <c r="J11" s="12" t="s">
        <v>31</v>
      </c>
    </row>
    <row r="12" spans="1:12" s="13" customFormat="1" ht="33.75" x14ac:dyDescent="0.25">
      <c r="A12" s="22">
        <f>IF(B12="","",COUNTA($B$12:B12))</f>
        <v>1</v>
      </c>
      <c r="B12" s="8" t="s">
        <v>19</v>
      </c>
      <c r="C12" s="9" t="s">
        <v>13</v>
      </c>
      <c r="D12" s="10">
        <v>0.2</v>
      </c>
      <c r="E12" s="9" t="s">
        <v>15</v>
      </c>
      <c r="F12" s="11">
        <v>15</v>
      </c>
      <c r="G12" s="11" t="s">
        <v>16</v>
      </c>
      <c r="H12" s="2"/>
      <c r="I12" s="40" t="str">
        <f t="shared" ref="I12:I17" si="0">IFERROR(IF(OR(A12="",F12=""),"",IF(AND(G12&lt;&gt;"Alza",G12&lt;&gt;"Baja"),"",IF(G12="Alza",IF(AND(H12&lt;&gt;"",H12&gt;=F12),"SÍ","NO"),IF(G12="Baja",IF(AND(H12&lt;&gt;"",H12&lt;=F12),"SÍ","NO"))))),"")</f>
        <v>NO</v>
      </c>
      <c r="J12" s="40">
        <f>IF(B12="","",IFERROR(IF(I12="SÍ",D12*100,0),""))</f>
        <v>0</v>
      </c>
      <c r="K12" s="7"/>
      <c r="L12" s="7"/>
    </row>
    <row r="13" spans="1:12" s="13" customFormat="1" ht="67.5" x14ac:dyDescent="0.25">
      <c r="A13" s="22">
        <f>IF(B13="","",COUNTA($B$12:B13))</f>
        <v>2</v>
      </c>
      <c r="B13" s="8" t="s">
        <v>32</v>
      </c>
      <c r="C13" s="9" t="s">
        <v>14</v>
      </c>
      <c r="D13" s="10">
        <v>0.2</v>
      </c>
      <c r="E13" s="9" t="s">
        <v>15</v>
      </c>
      <c r="F13" s="2">
        <v>1</v>
      </c>
      <c r="G13" s="11" t="s">
        <v>16</v>
      </c>
      <c r="H13" s="2"/>
      <c r="I13" s="40" t="str">
        <f t="shared" si="0"/>
        <v>NO</v>
      </c>
      <c r="J13" s="40">
        <f t="shared" ref="J13:J18" si="1">IF(B13="","",IFERROR(IF(I13="SÍ",D13*100,0),""))</f>
        <v>0</v>
      </c>
    </row>
    <row r="14" spans="1:12" s="13" customFormat="1" ht="56.25" x14ac:dyDescent="0.25">
      <c r="A14" s="22">
        <f>IF(B14="","",COUNTA($B$12:B14))</f>
        <v>3</v>
      </c>
      <c r="B14" s="8" t="s">
        <v>33</v>
      </c>
      <c r="C14" s="9" t="s">
        <v>13</v>
      </c>
      <c r="D14" s="10">
        <v>0.2</v>
      </c>
      <c r="E14" s="9" t="s">
        <v>15</v>
      </c>
      <c r="F14" s="2">
        <v>2</v>
      </c>
      <c r="G14" s="11" t="s">
        <v>16</v>
      </c>
      <c r="H14" s="2"/>
      <c r="I14" s="40" t="str">
        <f t="shared" si="0"/>
        <v>NO</v>
      </c>
      <c r="J14" s="40">
        <f t="shared" si="1"/>
        <v>0</v>
      </c>
    </row>
    <row r="15" spans="1:12" s="13" customFormat="1" ht="11.25" x14ac:dyDescent="0.25">
      <c r="A15" s="22" t="str">
        <f>IF(B15="","",COUNTA($B$12:B15))</f>
        <v/>
      </c>
      <c r="B15" s="1"/>
      <c r="C15" s="2"/>
      <c r="D15" s="3"/>
      <c r="E15" s="2"/>
      <c r="F15" s="2"/>
      <c r="G15" s="4"/>
      <c r="H15" s="2"/>
      <c r="I15" s="40" t="str">
        <f t="shared" si="0"/>
        <v/>
      </c>
      <c r="J15" s="40" t="str">
        <f t="shared" si="1"/>
        <v/>
      </c>
    </row>
    <row r="16" spans="1:12" s="13" customFormat="1" ht="11.25" x14ac:dyDescent="0.25">
      <c r="A16" s="22" t="str">
        <f>IF(B16="","",COUNTA($B$12:B16))</f>
        <v/>
      </c>
      <c r="B16" s="1"/>
      <c r="C16" s="2"/>
      <c r="D16" s="3"/>
      <c r="E16" s="2"/>
      <c r="F16" s="2"/>
      <c r="G16" s="4"/>
      <c r="H16" s="2"/>
      <c r="I16" s="40" t="str">
        <f t="shared" si="0"/>
        <v/>
      </c>
      <c r="J16" s="40" t="str">
        <f t="shared" si="1"/>
        <v/>
      </c>
    </row>
    <row r="17" spans="1:10" s="13" customFormat="1" ht="11.25" x14ac:dyDescent="0.25">
      <c r="A17" s="22" t="str">
        <f>IF(B17="","",COUNTA($B$12:B17))</f>
        <v/>
      </c>
      <c r="B17" s="1"/>
      <c r="C17" s="2"/>
      <c r="D17" s="3"/>
      <c r="E17" s="2"/>
      <c r="F17" s="2"/>
      <c r="G17" s="4"/>
      <c r="H17" s="2"/>
      <c r="I17" s="40" t="str">
        <f t="shared" si="0"/>
        <v/>
      </c>
      <c r="J17" s="40" t="str">
        <f t="shared" si="1"/>
        <v/>
      </c>
    </row>
    <row r="18" spans="1:10" s="13" customFormat="1" ht="11.25" x14ac:dyDescent="0.25">
      <c r="A18" s="22" t="str">
        <f>IF(B18="","",COUNTA($B$12:B18))</f>
        <v/>
      </c>
      <c r="B18" s="1"/>
      <c r="C18" s="2"/>
      <c r="D18" s="3"/>
      <c r="E18" s="2"/>
      <c r="F18" s="2"/>
      <c r="G18" s="4"/>
      <c r="H18" s="2"/>
      <c r="I18" s="40" t="str">
        <f>IFERROR(IF(OR(A18="",F18=""),"",IF(AND(G18&lt;&gt;"Alza",G18&lt;&gt;"Baja"),"",IF(G18="Alza",IF(AND(H18&lt;&gt;"",H18&gt;=F18),"SÍ","NO"),IF(G18="Baja",IF(AND(H18&lt;&gt;"",H18&lt;=F18),"SÍ","NO"))))),"")</f>
        <v/>
      </c>
      <c r="J18" s="40" t="str">
        <f t="shared" si="1"/>
        <v/>
      </c>
    </row>
    <row r="19" spans="1:10" ht="29.25" customHeight="1" x14ac:dyDescent="0.25">
      <c r="A19" s="28"/>
      <c r="B19" s="33"/>
      <c r="C19" s="30" t="s">
        <v>10</v>
      </c>
      <c r="D19" s="45">
        <f>SUM($D$12:$D$18)</f>
        <v>0.60000000000000009</v>
      </c>
      <c r="E19" s="35"/>
      <c r="F19" s="29"/>
      <c r="G19" s="29"/>
      <c r="H19" s="33"/>
      <c r="I19" s="30" t="s">
        <v>2</v>
      </c>
      <c r="J19" s="42">
        <f>IF(D19&lt;&gt;1,0,SUM($J$12:$J$18))</f>
        <v>0</v>
      </c>
    </row>
  </sheetData>
  <sheetProtection algorithmName="SHA-512" hashValue="52LtCYAIbdJkBYkMcOhHT2PpZiKlQollE7VrDSXMDCj4DamE3LqBL9MFAxhH0exVtcO7QsHJ7+EYKCqS5F5jPg==" saltValue="DbK4fFaEhSd36SdYybV0aQ==" spinCount="100000" sheet="1" objects="1" scenarios="1"/>
  <mergeCells count="18">
    <mergeCell ref="A3:B3"/>
    <mergeCell ref="C3:J3"/>
    <mergeCell ref="A1:B1"/>
    <mergeCell ref="C1:H1"/>
    <mergeCell ref="I1:J1"/>
    <mergeCell ref="A2:B2"/>
    <mergeCell ref="C2:H2"/>
    <mergeCell ref="A8:B8"/>
    <mergeCell ref="C8:J8"/>
    <mergeCell ref="A9:B9"/>
    <mergeCell ref="C9:J9"/>
    <mergeCell ref="A4:B4"/>
    <mergeCell ref="C4:J4"/>
    <mergeCell ref="A6:B6"/>
    <mergeCell ref="C6:E6"/>
    <mergeCell ref="I6:J6"/>
    <mergeCell ref="A7:B7"/>
    <mergeCell ref="C7:J7"/>
  </mergeCells>
  <conditionalFormatting sqref="D19">
    <cfRule type="cellIs" dxfId="3" priority="4" operator="notEqual">
      <formula>1</formula>
    </cfRule>
  </conditionalFormatting>
  <conditionalFormatting sqref="F13">
    <cfRule type="cellIs" dxfId="2" priority="3" operator="notEqual">
      <formula>1</formula>
    </cfRule>
  </conditionalFormatting>
  <conditionalFormatting sqref="F14">
    <cfRule type="cellIs" dxfId="1" priority="2" operator="notEqual">
      <formula>2</formula>
    </cfRule>
  </conditionalFormatting>
  <conditionalFormatting sqref="J19">
    <cfRule type="cellIs" dxfId="0" priority="1" operator="equal">
      <formula>0</formula>
    </cfRule>
  </conditionalFormatting>
  <dataValidations count="8">
    <dataValidation type="list" allowBlank="1" showInputMessage="1" showErrorMessage="1" sqref="C12:C18">
      <formula1>"Individual,Colectivo"</formula1>
    </dataValidation>
    <dataValidation type="list" allowBlank="1" showInputMessage="1" showErrorMessage="1" sqref="K12">
      <formula1>"SÍ,NO"</formula1>
    </dataValidation>
    <dataValidation type="list" allowBlank="1" showInputMessage="1" showErrorMessage="1" sqref="G12:G18">
      <formula1>"Alza,Baja"</formula1>
    </dataValidation>
    <dataValidation type="list" allowBlank="1" showInputMessage="1" showErrorMessage="1" sqref="E12:E18">
      <formula1>"Número,Porcentaje"</formula1>
    </dataValidation>
    <dataValidation type="decimal" allowBlank="1" showInputMessage="1" showErrorMessage="1" errorTitle="ERROR" error="Debes introducir un valor numérico._x000a_Entre 10 y 40." sqref="D15:D18">
      <formula1>0.1</formula1>
      <formula2>0.4</formula2>
    </dataValidation>
    <dataValidation type="whole" allowBlank="1" showInputMessage="1" showErrorMessage="1" errorTitle="ERROR" error="Valores permitidos:_x000a_0 o 1" sqref="F13">
      <formula1>0</formula1>
      <formula2>1</formula2>
    </dataValidation>
    <dataValidation type="whole" allowBlank="1" showInputMessage="1" showErrorMessage="1" errorTitle="ERROR" error="Valores permitidos:_x000a_0, 1 o 2" sqref="F14">
      <formula1>0</formula1>
      <formula2>2</formula2>
    </dataValidation>
    <dataValidation type="whole" allowBlank="1" showInputMessage="1" showErrorMessage="1" errorTitle="VALOR NO NUMÉRICO" error="Debes introducir un valor numérico." sqref="F15:F18 H12:H18">
      <formula1>0</formula1>
      <formula2>1000</formula2>
    </dataValidation>
  </dataValidations>
  <pageMargins left="3.937007874015748E-2" right="3.937007874015748E-2" top="7.874015748031496E-2" bottom="7.874015748031496E-2" header="0.31496062992125984" footer="0.31496062992125984"/>
  <pageSetup paperSize="9" pageOrder="overThenDown"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9bbc70-0e07-468c-abb5-2464e1ef44e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D84735CB9ED84784DEA8B5DCD5E860" ma:contentTypeVersion="10" ma:contentTypeDescription="Create a new document." ma:contentTypeScope="" ma:versionID="3d43c06f7c9aa99834e8c459dbf64032">
  <xsd:schema xmlns:xsd="http://www.w3.org/2001/XMLSchema" xmlns:xs="http://www.w3.org/2001/XMLSchema" xmlns:p="http://schemas.microsoft.com/office/2006/metadata/properties" xmlns:ns2="3c9bbc70-0e07-468c-abb5-2464e1ef44e0" targetNamespace="http://schemas.microsoft.com/office/2006/metadata/properties" ma:root="true" ma:fieldsID="2c023ef3de5a9ecb25674130b20eefa6" ns2:_="">
    <xsd:import namespace="3c9bbc70-0e07-468c-abb5-2464e1ef44e0"/>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9bbc70-0e07-468c-abb5-2464e1ef44e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c3887f44-ed6a-4f04-a3d7-186a0f016847"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4BF8E8-B2DF-4F17-B240-00A48EED463D}">
  <ds:schemaRefs>
    <ds:schemaRef ds:uri="http://schemas.microsoft.com/office/2006/metadata/properties"/>
    <ds:schemaRef ds:uri="http://schemas.microsoft.com/office/infopath/2007/PartnerControls"/>
    <ds:schemaRef ds:uri="http://purl.org/dc/dcmitype/"/>
    <ds:schemaRef ds:uri="http://purl.org/dc/elements/1.1/"/>
    <ds:schemaRef ds:uri="http://purl.org/dc/terms/"/>
    <ds:schemaRef ds:uri="http://schemas.microsoft.com/office/2006/documentManagement/types"/>
    <ds:schemaRef ds:uri="3c9bbc70-0e07-468c-abb5-2464e1ef44e0"/>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19B27686-62F2-4300-B4E9-AC96A173A9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9bbc70-0e07-468c-abb5-2464e1ef44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1E1142-E15F-4E53-8E4A-2D7541B319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54</vt:i4>
      </vt:variant>
      <vt:variant>
        <vt:lpstr>Rangos con nombre</vt:lpstr>
      </vt:variant>
      <vt:variant>
        <vt:i4>2</vt:i4>
      </vt:variant>
    </vt:vector>
  </HeadingPairs>
  <TitlesOfParts>
    <vt:vector size="56" baseType="lpstr">
      <vt:lpstr>Instrucciones</vt:lpstr>
      <vt:lpstr>RESULTADOS_OBJETIVOS</vt:lpstr>
      <vt:lpstr>Supervis@r1</vt:lpstr>
      <vt:lpstr>Supervis@r1_Int</vt:lpstr>
      <vt:lpstr>Colaborad@r1</vt:lpstr>
      <vt:lpstr>Colaborad@r2</vt:lpstr>
      <vt:lpstr>Colaborad@r3</vt:lpstr>
      <vt:lpstr>Colaborad@r4</vt:lpstr>
      <vt:lpstr>Colaborad@r5</vt:lpstr>
      <vt:lpstr>Colaborad@r6</vt:lpstr>
      <vt:lpstr>Colaborad@r7</vt:lpstr>
      <vt:lpstr>Colaborad@r8</vt:lpstr>
      <vt:lpstr>Colaborad@r9</vt:lpstr>
      <vt:lpstr>Colaborad@r10</vt:lpstr>
      <vt:lpstr>Colaborad@r11</vt:lpstr>
      <vt:lpstr>Colaborad@r12</vt:lpstr>
      <vt:lpstr>Colaborad@r13</vt:lpstr>
      <vt:lpstr>Colaborad@r14</vt:lpstr>
      <vt:lpstr>Colaborad@r15</vt:lpstr>
      <vt:lpstr>Colaborad@r16</vt:lpstr>
      <vt:lpstr>Colaborad@r17</vt:lpstr>
      <vt:lpstr>Colaborad@r18</vt:lpstr>
      <vt:lpstr>Colaborad@r19</vt:lpstr>
      <vt:lpstr>Colaborad@r20</vt:lpstr>
      <vt:lpstr>Colaborad@r21</vt:lpstr>
      <vt:lpstr>Colaborad@r22</vt:lpstr>
      <vt:lpstr>Colaborad@r23</vt:lpstr>
      <vt:lpstr>Colaborad@r24</vt:lpstr>
      <vt:lpstr>Colaborad@r25</vt:lpstr>
      <vt:lpstr>Colaborad@r26</vt:lpstr>
      <vt:lpstr>Colaborad@r27</vt:lpstr>
      <vt:lpstr>Colaborad@r28</vt:lpstr>
      <vt:lpstr>Colaborad@r29</vt:lpstr>
      <vt:lpstr>Colaborad@r30</vt:lpstr>
      <vt:lpstr>Colaborad@r31</vt:lpstr>
      <vt:lpstr>Colaborad@r32</vt:lpstr>
      <vt:lpstr>Colaborad@r33</vt:lpstr>
      <vt:lpstr>Colaborad@r34</vt:lpstr>
      <vt:lpstr>Colaborad@r35</vt:lpstr>
      <vt:lpstr>Colaborad@r36</vt:lpstr>
      <vt:lpstr>Colaborad@r37</vt:lpstr>
      <vt:lpstr>Colaborad@r38</vt:lpstr>
      <vt:lpstr>Colaborad@r39</vt:lpstr>
      <vt:lpstr>Colaborad@r40</vt:lpstr>
      <vt:lpstr>Colaborad@r41</vt:lpstr>
      <vt:lpstr>Colaborad@r42</vt:lpstr>
      <vt:lpstr>Colaborad@r43</vt:lpstr>
      <vt:lpstr>Colaborad@r44</vt:lpstr>
      <vt:lpstr>Colaborad@r45</vt:lpstr>
      <vt:lpstr>Colaborad@r46</vt:lpstr>
      <vt:lpstr>Colaborad@r47</vt:lpstr>
      <vt:lpstr>Colaborad@r48</vt:lpstr>
      <vt:lpstr>Colaborad@r49</vt:lpstr>
      <vt:lpstr>Colaborad@r50</vt:lpstr>
      <vt:lpstr>RESULTADOS_OBJETIVOS!Títulos_a_imprimir</vt:lpstr>
      <vt:lpstr>'Supervis@r1'!Títulos_a_imprimir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Navarro Carro</dc:creator>
  <cp:lastModifiedBy>Ramón Luque</cp:lastModifiedBy>
  <cp:lastPrinted>2026-09-21T19:59:26Z</cp:lastPrinted>
  <dcterms:created xsi:type="dcterms:W3CDTF">2015-06-05T18:19:34Z</dcterms:created>
  <dcterms:modified xsi:type="dcterms:W3CDTF">2026-09-21T20:14:45Z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0x010100EBD84735CB9ED84784DEA8B5DCD5E860</vt:lpwstr>
  </property>
  <property fmtid="{D5CDD505-2E9C-101B-9397-08002B2CF9AE}" pid="3" name="MediaServiceImageTags">
    <vt:lpwstr/>
  </property>
</Properties>
</file>