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codeName="ThisWorkbook"/>
  <mc:AlternateContent xmlns:mc="http://schemas.openxmlformats.org/markup-compatibility/2006">
    <mc:Choice Requires="x15">
      <x15ac:absPath xmlns:x15ac="http://schemas.microsoft.com/office/spreadsheetml/2010/11/ac" url="C:\Users\ramon\Documents\"/>
    </mc:Choice>
  </mc:AlternateContent>
  <xr:revisionPtr revIDLastSave="0" documentId="8_{7CE355CB-2AD7-48E3-848A-F42A13E70E4A}" xr6:coauthVersionLast="47" xr6:coauthVersionMax="47" xr10:uidLastSave="{00000000-0000-0000-0000-000000000000}"/>
  <bookViews>
    <workbookView xWindow="-120" yWindow="-120" windowWidth="29040" windowHeight="15840" activeTab="2" xr2:uid="{00000000-000D-0000-FFFF-FFFF00000000}"/>
  </bookViews>
  <sheets>
    <sheet name="Instrucciones" sheetId="21" r:id="rId1"/>
    <sheet name="RESUMEN" sheetId="20" r:id="rId2"/>
    <sheet name="Matriz de Resultados" sheetId="13" r:id="rId3"/>
    <sheet name="Coeficiente Único" sheetId="17" r:id="rId4"/>
    <sheet name="Las Bolsas" sheetId="18" r:id="rId5"/>
  </sheets>
  <definedNames>
    <definedName name="_xlnm.Print_Titles" localSheetId="2">'Matriz de Resultados'!$1:$5</definedName>
    <definedName name="_xlnm.Print_Titles" localSheetId="1">RESUMEN!$1:$5</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9" i="13" l="1"/>
  <c r="H8" i="13"/>
  <c r="H7" i="13"/>
  <c r="H6" i="13"/>
  <c r="B7" i="20"/>
  <c r="C7" i="20"/>
  <c r="D7" i="20"/>
  <c r="E7" i="20"/>
  <c r="B8" i="20"/>
  <c r="C8" i="20"/>
  <c r="D8" i="20"/>
  <c r="E8" i="20"/>
  <c r="I7" i="13"/>
  <c r="O7" i="13"/>
  <c r="I8" i="13"/>
  <c r="J8" i="13" s="1"/>
  <c r="J7" i="13" l="1"/>
  <c r="L7" i="13"/>
  <c r="M7" i="13" s="1"/>
  <c r="L8" i="13"/>
  <c r="M8" i="13" s="1"/>
  <c r="I9" i="13"/>
  <c r="J9" i="13" s="1"/>
  <c r="C2" i="20"/>
  <c r="N7" i="13" l="1"/>
  <c r="P7" i="13"/>
  <c r="F7" i="20" s="1"/>
  <c r="N8" i="13"/>
  <c r="L9" i="13"/>
  <c r="B9" i="20"/>
  <c r="C9" i="20"/>
  <c r="D9" i="20"/>
  <c r="E9" i="20"/>
  <c r="N9" i="13" l="1"/>
  <c r="M9" i="13"/>
  <c r="B6" i="20"/>
  <c r="C6" i="20"/>
  <c r="D6" i="20"/>
  <c r="E6" i="20"/>
  <c r="C3" i="20" l="1"/>
  <c r="B10" i="20" l="1"/>
  <c r="H10" i="13" l="1"/>
  <c r="I3" i="13" s="1"/>
  <c r="B10" i="13"/>
  <c r="M3" i="13" s="1"/>
  <c r="I6" i="13"/>
  <c r="J6" i="13" s="1"/>
  <c r="L6" i="13" s="1"/>
  <c r="N6" i="13" l="1"/>
  <c r="M6" i="13"/>
  <c r="N10" i="13" l="1"/>
  <c r="O9" i="13" s="1"/>
  <c r="P9" i="13" s="1"/>
  <c r="N3" i="13" l="1"/>
  <c r="O8" i="13"/>
  <c r="P8" i="13" s="1"/>
  <c r="F8" i="20" s="1"/>
  <c r="O6" i="13"/>
  <c r="P6" i="13" s="1"/>
  <c r="F9" i="20" s="1"/>
  <c r="P3" i="13" l="1"/>
  <c r="O10" i="13"/>
  <c r="F6" i="20"/>
  <c r="P10" i="13"/>
  <c r="F10" i="20" l="1"/>
</calcChain>
</file>

<file path=xl/sharedStrings.xml><?xml version="1.0" encoding="utf-8"?>
<sst xmlns="http://schemas.openxmlformats.org/spreadsheetml/2006/main" count="118" uniqueCount="110">
  <si>
    <t>DNI</t>
  </si>
  <si>
    <t>APELLIDO 1</t>
  </si>
  <si>
    <t>APELLIDO 2</t>
  </si>
  <si>
    <t>NOMBRE</t>
  </si>
  <si>
    <t>APORTA A LA BOLSA DEL PROGRAMA POR APLICACIÓN DE OBJETIVOS</t>
  </si>
  <si>
    <t>INCENTIVO
INICIAL</t>
  </si>
  <si>
    <t>2025-2026</t>
  </si>
  <si>
    <t>SUMA DE APORTACIONES A LA  BOLSA DEL PROGRAMA</t>
  </si>
  <si>
    <t>COEFICIENTE  BOLSA PROGRAMA</t>
  </si>
  <si>
    <t>PRESUPUESTO ASIGNADO AL PROGRAMA</t>
  </si>
  <si>
    <t>PERIODO EVALUADO</t>
  </si>
  <si>
    <t>PROGRAMA</t>
  </si>
  <si>
    <t>SUPERVISOR/A</t>
  </si>
  <si>
    <t>BASE</t>
  </si>
  <si>
    <t>Nº EMPLEADOS</t>
  </si>
  <si>
    <t>REPARTO
DE LA BOLSA
DEL PROGRAMA</t>
  </si>
  <si>
    <t>Nº EMPLEADOS QUE PARTICIPAN EN LA BOLSA</t>
  </si>
  <si>
    <t>TOTAL INCENTIVO</t>
  </si>
  <si>
    <t>TOTAL BOLSA 
INCENTIVOS</t>
  </si>
  <si>
    <t>Como Supervisor/a del programa, hago constar que las puntuaciones introducidas en la columna «Puntuación resultante de los objetivos alcanzados» se corresponden con las obtenidas por cada empleado en la herramienta de evaluación de objetivos, y que la herramienta ha sido utilizada conforme a las indicaciones establecidas, manteniéndose en los términos en que ha sido facilitada por la Sección de Recursos Humanos, sin realizar modificaciones en sus datos, fórmulas, cálculos o configuración.
Asumo la responsabilidad sobre la veracidad de los datos y puntuaciones que me corresponde introducir y validar (Columna “Puntuación resultante de los objetivos alcanzados”), sin que dicha responsabilidad comprenda los datos, fórmulas, cálculos internos o procesos automáticos de la herramienta facilitada por la Sección de Recursos Humanos.</t>
  </si>
  <si>
    <t>Firma, El Supervisor/a</t>
  </si>
  <si>
    <t>Firma, El Concejal/a</t>
  </si>
  <si>
    <t>COEFICIENTE
DE PARTICIPACION</t>
  </si>
  <si>
    <t>Puntuación resultante de los objetivos alcanzados  (de 0 a 100)</t>
  </si>
  <si>
    <t>25718282G</t>
  </si>
  <si>
    <t>27375597P</t>
  </si>
  <si>
    <t>25674609P</t>
  </si>
  <si>
    <t>25707135N</t>
  </si>
  <si>
    <t>SSOO- ADMIISTRACION</t>
  </si>
  <si>
    <t xml:space="preserve">DESCRIPCIÓN DETALLADA  DE LA HOJA DE "MATRIZ DE RESULTADOS" </t>
  </si>
  <si>
    <t>Celda</t>
  </si>
  <si>
    <t>Concepto</t>
  </si>
  <si>
    <t>Descripción</t>
  </si>
  <si>
    <t>2C</t>
  </si>
  <si>
    <t>Nombre del programa</t>
  </si>
  <si>
    <t>Denominación del programa de incentivos.</t>
  </si>
  <si>
    <t>3C</t>
  </si>
  <si>
    <t>Supervisor/a</t>
  </si>
  <si>
    <t>Supervisor/a responsable del programa.</t>
  </si>
  <si>
    <t>3G</t>
  </si>
  <si>
    <t>Periodo evaluado</t>
  </si>
  <si>
    <t>Intervalo temporal al que corresponden los datos y cálculos del programa.</t>
  </si>
  <si>
    <t>3I</t>
  </si>
  <si>
    <t>Presupuesto asignado</t>
  </si>
  <si>
    <t>Importe económico total destinado al programa para el periodo evaluado.</t>
  </si>
  <si>
    <t>3L</t>
  </si>
  <si>
    <t>Base</t>
  </si>
  <si>
    <t>Cuantía resultante de dividir el presupuesto municipal asignado al programa entre el número de empleados participantes, de conformidad con lo establecido en el Reglamento y en los acuerdos de la Comisión de Garantías.</t>
  </si>
  <si>
    <t>3M</t>
  </si>
  <si>
    <t>Número de empleados</t>
  </si>
  <si>
    <t>Número total de empleados que participan en el programa.</t>
  </si>
  <si>
    <t>3N</t>
  </si>
  <si>
    <t>Total bolsa de incentivos</t>
  </si>
  <si>
    <t>Suma de todas las aportaciones realizadas por los empleados a la bolsa del programa. (Se actualiza una vez que se introduzcan las puntuaciones obtenidas en la evaluación de objetivos).</t>
  </si>
  <si>
    <t>3P</t>
  </si>
  <si>
    <t>Empleados que participan en la bolsa</t>
  </si>
  <si>
    <t>Número de empleados con una puntuación igual o superior a 70 que participan en el reparto de la bolsa.</t>
  </si>
  <si>
    <t>5F</t>
  </si>
  <si>
    <t>Coeficiente de participación</t>
  </si>
  <si>
    <t>Coeficiente determinado en función de los periodos y jornadas trabajados, que refleja la participación del empleado en el programa.</t>
  </si>
  <si>
    <t>5G</t>
  </si>
  <si>
    <t>Coeficiente de bolsa del programa</t>
  </si>
  <si>
    <t>Porcentaje del incentivo inicial que el empleado aporta a la bolsa del programa como consecuencias de incidencias (permisos, suspensión de empleo, etc.)</t>
  </si>
  <si>
    <t>5H</t>
  </si>
  <si>
    <t>Incentivo inicial</t>
  </si>
  <si>
    <t>Cuantía resultante de aplicar el coeficiente de participación a la base del programa.</t>
  </si>
  <si>
    <t>5I</t>
  </si>
  <si>
    <t>Aporta a la bolsa del programa por incidencias</t>
  </si>
  <si>
    <t>Importe que el empleado aporta a la bolsa del programa como consecuencias de incidencias (permisos, suspensión de empleo, etc.)</t>
  </si>
  <si>
    <t>5J</t>
  </si>
  <si>
    <t>Incentivo definitivo</t>
  </si>
  <si>
    <t>Incentivo inicial, una vez descontado el importe aportado a la bolsa como consecuencia de las incidencias del empleado.</t>
  </si>
  <si>
    <t>5K</t>
  </si>
  <si>
    <t>Puntuación resultante de los objetivos alcanzados (de 0 a 100)</t>
  </si>
  <si>
    <t>Valor entre 0 y 100. Es la única columna que debe cumplimentar el Supervisor/a, introduciendo la puntuación obtenida en los objetivos del programa. Esta puntuación determina los cálculos posteriores que realiza la herramienta, incluida la aportación o participación en la bolsa y el importe definitivo a abonar a cada participante.</t>
  </si>
  <si>
    <t>5L</t>
  </si>
  <si>
    <t>Incentivo tras aplicación puntuación objetivos</t>
  </si>
  <si>
    <t>Cuantía resultante de aplicar la puntuación obtenida en los objetivos al incentivo definitivo.</t>
  </si>
  <si>
    <t>5M</t>
  </si>
  <si>
    <t>Aporta a la bolsa del programa por aplicación de objetivos</t>
  </si>
  <si>
    <t>Importe aportado a la bolsa en función de la puntuación obtenida en los objetivos, cuando esta es inferior a 100.</t>
  </si>
  <si>
    <t>5N</t>
  </si>
  <si>
    <t>Suma de aportaciones a la bolsa del programa</t>
  </si>
  <si>
    <t>Importe total aportado por el empleado a la bolsa, correspondiente a incidencias y objetivos.</t>
  </si>
  <si>
    <t>5O</t>
  </si>
  <si>
    <t>Reparto de la bolsa del programa</t>
  </si>
  <si>
    <t>Es la cantidad resultante de dividir el total de la Bolsa de incentivos  (celda 3N)  entre los empleados que han obtenido una puntuación igual o superior a 70 (celda 3P).</t>
  </si>
  <si>
    <t>5P</t>
  </si>
  <si>
    <t>Incentivo final a abonar</t>
  </si>
  <si>
    <t>Suma del incentivo por aplicación de objetivos y el importe correspondiente al reparto de la bolsa. Es la cuantía final a abonar al empleado/a.</t>
  </si>
  <si>
    <t xml:space="preserve">
Listado de empleados participantes en el programa, con el detalle del importe a abonar a cada uno de ellos.
Dicho importe es el resultado de aplicar la puntuación obtenida en los objetivos del programa de Evaluación del Desempeño 2025-2026, conforme a la matriz de resultados facilitada por Recursos Humanos.
</t>
  </si>
  <si>
    <t>Firma el Supervisor</t>
  </si>
  <si>
    <t>Firma el Concejal/a Delegado/a</t>
  </si>
  <si>
    <t>APORTA A LA BOLSA DEL PROGRAMA POR INCIDENCIAS</t>
  </si>
  <si>
    <t>INCENTIVO DEFINITIVO</t>
  </si>
  <si>
    <t>INCENTIVO TRAS APLICACIÓN PUNTUACIÓN OBJETIVOS</t>
  </si>
  <si>
    <t>INCENTIVO FINAL A ABONAR</t>
  </si>
  <si>
    <t>AP1-1</t>
  </si>
  <si>
    <t>AP1-2</t>
  </si>
  <si>
    <t>PEDOR</t>
  </si>
  <si>
    <t>JOSE</t>
  </si>
  <si>
    <t>LUIS</t>
  </si>
  <si>
    <t>ANTONIO</t>
  </si>
  <si>
    <t>AP2-1</t>
  </si>
  <si>
    <t>AP3-1</t>
  </si>
  <si>
    <t>AP4-1</t>
  </si>
  <si>
    <t>AP2-2</t>
  </si>
  <si>
    <t>AP3-2</t>
  </si>
  <si>
    <t>AP4-2</t>
  </si>
  <si>
    <t>FEDERICO AP0-1 AP0-2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</si>
</sst>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 #,##0.00\ &quot;€&quot;_-;\-* #,##0.00\ &quot;€&quot;_-;_-* &quot;-&quot;??\ &quot;€&quot;_-;_-@_-"/>
    <numFmt numFmtId="164" formatCode="0000"/>
  </numFmts>
  <fonts count="18" x14ac:knownFonts="1">
    <font>
      <sz val="11"/>
      <color theme="1"/>
      <name val="Calibri"/>
      <family val="2"/>
      <scheme val="minor"/>
    </font>
    <font>
      <sz val="11"/>
      <color theme="1"/>
      <name val="Calibri"/>
      <family val="2"/>
      <scheme val="minor"/>
    </font>
    <font>
      <sz val="9"/>
      <color theme="1"/>
      <name val="Arial"/>
      <family val="2"/>
    </font>
    <font>
      <b/>
      <sz val="11"/>
      <color theme="1"/>
      <name val="Calibri"/>
      <family val="2"/>
      <scheme val="minor"/>
    </font>
    <font>
      <sz val="11"/>
      <color rgb="FFFF0000"/>
      <name val="Calibri"/>
      <family val="2"/>
      <scheme val="minor"/>
    </font>
    <font>
      <sz val="11"/>
      <color theme="1"/>
      <name val="Arial"/>
      <family val="2"/>
    </font>
    <font>
      <b/>
      <sz val="8"/>
      <name val="Arial"/>
      <family val="2"/>
    </font>
    <font>
      <b/>
      <sz val="11"/>
      <color theme="1"/>
      <name val="Arial"/>
      <family val="2"/>
    </font>
    <font>
      <b/>
      <sz val="12"/>
      <color theme="1"/>
      <name val="Arial"/>
      <family val="2"/>
    </font>
    <font>
      <sz val="10"/>
      <color theme="1"/>
      <name val="Calibri"/>
      <family val="2"/>
      <scheme val="minor"/>
    </font>
    <font>
      <sz val="10"/>
      <color theme="1"/>
      <name val="Arial"/>
      <family val="2"/>
    </font>
    <font>
      <sz val="8"/>
      <color theme="1"/>
      <name val="Arial"/>
      <family val="2"/>
    </font>
    <font>
      <sz val="7"/>
      <color theme="1"/>
      <name val="Arial"/>
      <family val="2"/>
    </font>
    <font>
      <sz val="11"/>
      <color theme="1"/>
      <name val="Calibri"/>
      <family val="2"/>
      <scheme val="minor"/>
    </font>
    <font>
      <b/>
      <sz val="11"/>
      <color theme="1"/>
      <name val="Calibri"/>
      <family val="2"/>
      <scheme val="minor"/>
    </font>
    <font>
      <sz val="10"/>
      <color theme="1"/>
      <name val="Calibri"/>
      <family val="2"/>
      <scheme val="minor"/>
    </font>
    <font>
      <sz val="11"/>
      <color theme="1"/>
      <name val="Calibri"/>
      <family val="2"/>
    </font>
    <font>
      <b/>
      <sz val="10"/>
      <color theme="1"/>
      <name val="Calibri"/>
      <family val="2"/>
      <scheme val="minor"/>
    </font>
  </fonts>
  <fills count="11">
    <fill>
      <patternFill patternType="none"/>
    </fill>
    <fill>
      <patternFill patternType="gray125"/>
    </fill>
    <fill>
      <patternFill patternType="solid">
        <fgColor theme="9" tint="0.59999389629810485"/>
        <bgColor indexed="64"/>
      </patternFill>
    </fill>
    <fill>
      <patternFill patternType="solid">
        <fgColor theme="4" tint="0.79998168889431442"/>
        <bgColor indexed="64"/>
      </patternFill>
    </fill>
    <fill>
      <patternFill patternType="solid">
        <fgColor theme="4" tint="0.39997558519241921"/>
        <bgColor indexed="64"/>
      </patternFill>
    </fill>
    <fill>
      <patternFill patternType="solid">
        <fgColor theme="4" tint="0.59999389629810485"/>
        <bgColor indexed="64"/>
      </patternFill>
    </fill>
    <fill>
      <patternFill patternType="solid">
        <fgColor theme="8" tint="0.79998168889431442"/>
        <bgColor indexed="64"/>
      </patternFill>
    </fill>
    <fill>
      <patternFill patternType="solid">
        <fgColor theme="7" tint="0.39997558519241921"/>
        <bgColor indexed="64"/>
      </patternFill>
    </fill>
    <fill>
      <patternFill patternType="solid">
        <fgColor theme="0" tint="-0.14999847407452621"/>
        <bgColor indexed="64"/>
      </patternFill>
    </fill>
    <fill>
      <patternFill patternType="solid">
        <fgColor rgb="FFFFC000"/>
        <bgColor indexed="64"/>
      </patternFill>
    </fill>
    <fill>
      <patternFill patternType="solid">
        <fgColor rgb="FFC5E0B3"/>
        <bgColor indexed="64"/>
      </patternFill>
    </fill>
  </fills>
  <borders count="2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style="thin">
        <color rgb="FF000000"/>
      </top>
      <bottom style="thin">
        <color indexed="64"/>
      </bottom>
      <diagonal/>
    </border>
    <border>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2">
    <xf numFmtId="0" fontId="0" fillId="0" borderId="0"/>
    <xf numFmtId="44" fontId="1" fillId="0" borderId="0" applyFont="0" applyFill="0" applyBorder="0" applyAlignment="0" applyProtection="0"/>
  </cellStyleXfs>
  <cellXfs count="68">
    <xf numFmtId="0" fontId="0" fillId="0" borderId="0" xfId="0"/>
    <xf numFmtId="0" fontId="0" fillId="0" borderId="0" xfId="0" applyProtection="1">
      <protection hidden="1"/>
    </xf>
    <xf numFmtId="0" fontId="5" fillId="4" borderId="1" xfId="0" applyFont="1" applyFill="1" applyBorder="1" applyAlignment="1" applyProtection="1">
      <alignment horizontal="center" vertical="center" wrapText="1"/>
      <protection hidden="1"/>
    </xf>
    <xf numFmtId="0" fontId="2" fillId="4" borderId="1" xfId="0" applyFont="1" applyFill="1" applyBorder="1" applyAlignment="1" applyProtection="1">
      <alignment horizontal="center" vertical="center" wrapText="1"/>
      <protection hidden="1"/>
    </xf>
    <xf numFmtId="0" fontId="8" fillId="3" borderId="1" xfId="0" applyFont="1" applyFill="1" applyBorder="1" applyAlignment="1" applyProtection="1">
      <alignment horizontal="center" wrapText="1"/>
      <protection hidden="1"/>
    </xf>
    <xf numFmtId="0" fontId="6" fillId="5" borderId="5" xfId="0" applyFont="1" applyFill="1" applyBorder="1" applyAlignment="1" applyProtection="1">
      <alignment horizontal="center" vertical="center" wrapText="1"/>
      <protection hidden="1"/>
    </xf>
    <xf numFmtId="0" fontId="6" fillId="5" borderId="2" xfId="0" applyFont="1" applyFill="1" applyBorder="1" applyAlignment="1" applyProtection="1">
      <alignment horizontal="center" vertical="center" wrapText="1"/>
      <protection hidden="1"/>
    </xf>
    <xf numFmtId="0" fontId="6" fillId="5" borderId="9" xfId="0" applyFont="1" applyFill="1" applyBorder="1" applyAlignment="1" applyProtection="1">
      <alignment horizontal="center" vertical="center" wrapText="1"/>
      <protection hidden="1"/>
    </xf>
    <xf numFmtId="0" fontId="9" fillId="0" borderId="1" xfId="0" applyFont="1" applyBorder="1" applyAlignment="1" applyProtection="1">
      <alignment horizontal="center"/>
      <protection hidden="1"/>
    </xf>
    <xf numFmtId="0" fontId="9" fillId="0" borderId="1" xfId="0" applyFont="1" applyBorder="1" applyProtection="1">
      <protection hidden="1"/>
    </xf>
    <xf numFmtId="44" fontId="0" fillId="3" borderId="1" xfId="0" applyNumberFormat="1" applyFill="1" applyBorder="1" applyProtection="1">
      <protection hidden="1"/>
    </xf>
    <xf numFmtId="44" fontId="0" fillId="3" borderId="1" xfId="1" applyFont="1" applyFill="1" applyBorder="1" applyProtection="1">
      <protection hidden="1"/>
    </xf>
    <xf numFmtId="44" fontId="0" fillId="3" borderId="1" xfId="0" applyNumberFormat="1" applyFill="1" applyBorder="1" applyAlignment="1" applyProtection="1">
      <alignment horizontal="center"/>
      <protection hidden="1"/>
    </xf>
    <xf numFmtId="44" fontId="0" fillId="3" borderId="3" xfId="1" applyFont="1" applyFill="1" applyBorder="1" applyAlignment="1" applyProtection="1">
      <alignment horizontal="center"/>
      <protection hidden="1"/>
    </xf>
    <xf numFmtId="0" fontId="0" fillId="0" borderId="7" xfId="0" applyBorder="1" applyProtection="1">
      <protection hidden="1"/>
    </xf>
    <xf numFmtId="0" fontId="0" fillId="0" borderId="7" xfId="0" applyBorder="1" applyAlignment="1" applyProtection="1">
      <alignment horizontal="right"/>
      <protection hidden="1"/>
    </xf>
    <xf numFmtId="0" fontId="4" fillId="0" borderId="0" xfId="0" applyFont="1" applyAlignment="1" applyProtection="1">
      <alignment horizontal="center" vertical="center"/>
      <protection hidden="1"/>
    </xf>
    <xf numFmtId="0" fontId="12" fillId="4" borderId="1" xfId="0" applyFont="1" applyFill="1" applyBorder="1" applyAlignment="1" applyProtection="1">
      <alignment horizontal="center" vertical="center" wrapText="1"/>
      <protection hidden="1"/>
    </xf>
    <xf numFmtId="44" fontId="9" fillId="0" borderId="1" xfId="1" applyFont="1" applyBorder="1" applyProtection="1">
      <protection hidden="1"/>
    </xf>
    <xf numFmtId="44" fontId="8" fillId="3" borderId="1" xfId="0" applyNumberFormat="1" applyFont="1" applyFill="1" applyBorder="1" applyProtection="1">
      <protection hidden="1"/>
    </xf>
    <xf numFmtId="0" fontId="0" fillId="2" borderId="1" xfId="0" applyFill="1" applyBorder="1" applyAlignment="1" applyProtection="1">
      <alignment horizontal="center"/>
      <protection locked="0" hidden="1"/>
    </xf>
    <xf numFmtId="44" fontId="13" fillId="3" borderId="1" xfId="1" applyFont="1" applyFill="1" applyBorder="1" applyProtection="1">
      <protection hidden="1"/>
    </xf>
    <xf numFmtId="0" fontId="0" fillId="0" borderId="1" xfId="0" applyBorder="1"/>
    <xf numFmtId="44" fontId="0" fillId="0" borderId="1" xfId="1" applyFont="1" applyBorder="1"/>
    <xf numFmtId="0" fontId="14" fillId="5" borderId="6" xfId="0" applyFont="1" applyFill="1" applyBorder="1" applyAlignment="1" applyProtection="1">
      <alignment horizontal="center"/>
      <protection hidden="1"/>
    </xf>
    <xf numFmtId="44" fontId="14" fillId="0" borderId="7" xfId="0" applyNumberFormat="1" applyFont="1" applyBorder="1" applyProtection="1">
      <protection hidden="1"/>
    </xf>
    <xf numFmtId="0" fontId="9" fillId="0" borderId="4" xfId="0" applyFont="1" applyBorder="1" applyAlignment="1" applyProtection="1">
      <alignment horizontal="center"/>
      <protection hidden="1"/>
    </xf>
    <xf numFmtId="44" fontId="15" fillId="0" borderId="1" xfId="1" applyFont="1" applyBorder="1" applyProtection="1">
      <protection hidden="1"/>
    </xf>
    <xf numFmtId="0" fontId="0" fillId="0" borderId="0" xfId="0" applyAlignment="1" applyProtection="1">
      <alignment vertical="top" wrapText="1"/>
      <protection hidden="1"/>
    </xf>
    <xf numFmtId="0" fontId="0" fillId="0" borderId="0" xfId="0" applyAlignment="1">
      <alignment horizontal="center"/>
    </xf>
    <xf numFmtId="0" fontId="17" fillId="0" borderId="17" xfId="0" applyFont="1" applyBorder="1" applyAlignment="1">
      <alignment horizontal="center" vertical="center" wrapText="1"/>
    </xf>
    <xf numFmtId="0" fontId="17" fillId="0" borderId="17" xfId="0" applyFont="1" applyBorder="1" applyAlignment="1">
      <alignment vertical="center" wrapText="1"/>
    </xf>
    <xf numFmtId="0" fontId="9" fillId="0" borderId="17" xfId="0" applyFont="1" applyBorder="1" applyAlignment="1">
      <alignment horizontal="justify" vertical="center" wrapText="1"/>
    </xf>
    <xf numFmtId="0" fontId="17" fillId="8" borderId="17" xfId="0" applyFont="1" applyFill="1" applyBorder="1" applyAlignment="1">
      <alignment horizontal="center" vertical="center" wrapText="1"/>
    </xf>
    <xf numFmtId="0" fontId="17" fillId="8" borderId="17" xfId="0" applyFont="1" applyFill="1" applyBorder="1" applyAlignment="1">
      <alignment vertical="center" wrapText="1"/>
    </xf>
    <xf numFmtId="0" fontId="9" fillId="8" borderId="17" xfId="0" applyFont="1" applyFill="1" applyBorder="1" applyAlignment="1">
      <alignment horizontal="justify" vertical="center" wrapText="1"/>
    </xf>
    <xf numFmtId="0" fontId="17" fillId="9" borderId="17" xfId="0" applyFont="1" applyFill="1" applyBorder="1" applyAlignment="1">
      <alignment vertical="center" wrapText="1"/>
    </xf>
    <xf numFmtId="0" fontId="9" fillId="10" borderId="17" xfId="0" applyFont="1" applyFill="1" applyBorder="1" applyAlignment="1">
      <alignment horizontal="justify" vertical="center" wrapText="1"/>
    </xf>
    <xf numFmtId="0" fontId="6" fillId="0" borderId="9" xfId="0" applyFont="1" applyBorder="1" applyAlignment="1" applyProtection="1">
      <alignment horizontal="left" vertical="center" wrapText="1"/>
      <protection hidden="1"/>
    </xf>
    <xf numFmtId="0" fontId="0" fillId="0" borderId="0" xfId="0" applyAlignment="1">
      <alignment horizontal="center" vertical="center"/>
    </xf>
    <xf numFmtId="0" fontId="6" fillId="5" borderId="18" xfId="0" applyFont="1" applyFill="1" applyBorder="1" applyAlignment="1" applyProtection="1">
      <alignment horizontal="center" vertical="center" wrapText="1"/>
      <protection hidden="1"/>
    </xf>
    <xf numFmtId="0" fontId="6" fillId="5" borderId="19" xfId="0" applyFont="1" applyFill="1" applyBorder="1" applyAlignment="1" applyProtection="1">
      <alignment horizontal="center" vertical="center" wrapText="1"/>
      <protection hidden="1"/>
    </xf>
    <xf numFmtId="0" fontId="6" fillId="7" borderId="19" xfId="0" applyFont="1" applyFill="1" applyBorder="1" applyAlignment="1" applyProtection="1">
      <alignment horizontal="center" vertical="center" wrapText="1"/>
      <protection hidden="1"/>
    </xf>
    <xf numFmtId="0" fontId="6" fillId="5" borderId="20" xfId="0" applyFont="1" applyFill="1" applyBorder="1" applyAlignment="1" applyProtection="1">
      <alignment horizontal="center" vertical="center" wrapText="1"/>
      <protection hidden="1"/>
    </xf>
    <xf numFmtId="0" fontId="3" fillId="6" borderId="11" xfId="0" applyFont="1" applyFill="1" applyBorder="1" applyAlignment="1">
      <alignment horizontal="center" vertical="center"/>
    </xf>
    <xf numFmtId="0" fontId="3" fillId="6" borderId="12" xfId="0" applyFont="1" applyFill="1" applyBorder="1" applyAlignment="1">
      <alignment horizontal="center" vertical="center"/>
    </xf>
    <xf numFmtId="0" fontId="3" fillId="6" borderId="13" xfId="0" applyFont="1" applyFill="1" applyBorder="1" applyAlignment="1">
      <alignment horizontal="center" vertical="center"/>
    </xf>
    <xf numFmtId="0" fontId="3" fillId="6" borderId="14" xfId="0" applyFont="1" applyFill="1" applyBorder="1" applyAlignment="1">
      <alignment horizontal="center" vertical="center"/>
    </xf>
    <xf numFmtId="0" fontId="3" fillId="6" borderId="15" xfId="0" applyFont="1" applyFill="1" applyBorder="1" applyAlignment="1">
      <alignment horizontal="center" vertical="center"/>
    </xf>
    <xf numFmtId="0" fontId="3" fillId="6" borderId="16" xfId="0" applyFont="1" applyFill="1" applyBorder="1" applyAlignment="1">
      <alignment horizontal="center" vertical="center"/>
    </xf>
    <xf numFmtId="0" fontId="11" fillId="4" borderId="1" xfId="0" applyFont="1" applyFill="1" applyBorder="1" applyAlignment="1" applyProtection="1">
      <alignment horizontal="center" vertical="center" wrapText="1"/>
      <protection hidden="1"/>
    </xf>
    <xf numFmtId="164" fontId="7" fillId="3" borderId="1" xfId="0" applyNumberFormat="1" applyFont="1" applyFill="1" applyBorder="1" applyAlignment="1" applyProtection="1">
      <alignment horizontal="center" wrapText="1"/>
      <protection hidden="1"/>
    </xf>
    <xf numFmtId="0" fontId="7" fillId="6" borderId="3" xfId="0" applyFont="1" applyFill="1" applyBorder="1" applyAlignment="1" applyProtection="1">
      <alignment horizontal="center" vertical="center" wrapText="1"/>
      <protection hidden="1"/>
    </xf>
    <xf numFmtId="0" fontId="7" fillId="6" borderId="4" xfId="0" applyFont="1" applyFill="1" applyBorder="1" applyAlignment="1" applyProtection="1">
      <alignment horizontal="center" vertical="center" wrapText="1"/>
      <protection hidden="1"/>
    </xf>
    <xf numFmtId="0" fontId="0" fillId="0" borderId="0" xfId="0" applyAlignment="1" applyProtection="1">
      <alignment horizontal="left" vertical="center" wrapText="1"/>
      <protection hidden="1"/>
    </xf>
    <xf numFmtId="0" fontId="16" fillId="0" borderId="0" xfId="0" applyFont="1" applyAlignment="1" applyProtection="1">
      <alignment horizontal="left" vertical="top" wrapText="1"/>
      <protection hidden="1"/>
    </xf>
    <xf numFmtId="0" fontId="16" fillId="0" borderId="0" xfId="0" applyFont="1" applyAlignment="1" applyProtection="1">
      <alignment horizontal="left" vertical="top"/>
      <protection hidden="1"/>
    </xf>
    <xf numFmtId="0" fontId="10" fillId="4" borderId="1" xfId="0" applyFont="1" applyFill="1" applyBorder="1" applyAlignment="1" applyProtection="1">
      <alignment horizontal="center" vertical="center" wrapText="1"/>
      <protection hidden="1"/>
    </xf>
    <xf numFmtId="44" fontId="8" fillId="3" borderId="1" xfId="0" applyNumberFormat="1" applyFont="1" applyFill="1" applyBorder="1" applyAlignment="1" applyProtection="1">
      <alignment horizontal="center"/>
      <protection hidden="1"/>
    </xf>
    <xf numFmtId="0" fontId="7" fillId="6" borderId="3" xfId="0" applyFont="1" applyFill="1" applyBorder="1" applyAlignment="1" applyProtection="1">
      <alignment horizontal="left" vertical="center" wrapText="1"/>
      <protection hidden="1"/>
    </xf>
    <xf numFmtId="0" fontId="7" fillId="6" borderId="10" xfId="0" applyFont="1" applyFill="1" applyBorder="1" applyAlignment="1" applyProtection="1">
      <alignment horizontal="left" vertical="center" wrapText="1"/>
      <protection hidden="1"/>
    </xf>
    <xf numFmtId="0" fontId="7" fillId="6" borderId="4" xfId="0" applyFont="1" applyFill="1" applyBorder="1" applyAlignment="1" applyProtection="1">
      <alignment horizontal="left" vertical="center" wrapText="1"/>
      <protection hidden="1"/>
    </xf>
    <xf numFmtId="0" fontId="5" fillId="4" borderId="1" xfId="0" applyFont="1" applyFill="1" applyBorder="1" applyAlignment="1" applyProtection="1">
      <alignment horizontal="center" vertical="center" wrapText="1"/>
      <protection hidden="1"/>
    </xf>
    <xf numFmtId="164" fontId="8" fillId="3" borderId="1" xfId="0" applyNumberFormat="1" applyFont="1" applyFill="1" applyBorder="1" applyAlignment="1" applyProtection="1">
      <alignment horizontal="center" wrapText="1"/>
      <protection hidden="1"/>
    </xf>
    <xf numFmtId="0" fontId="3" fillId="5" borderId="6" xfId="0" applyFont="1" applyFill="1" applyBorder="1" applyAlignment="1" applyProtection="1">
      <alignment horizontal="center"/>
      <protection hidden="1"/>
    </xf>
    <xf numFmtId="44" fontId="3" fillId="5" borderId="7" xfId="0" applyNumberFormat="1" applyFont="1" applyFill="1" applyBorder="1" applyAlignment="1" applyProtection="1">
      <alignment horizontal="center"/>
      <protection hidden="1"/>
    </xf>
    <xf numFmtId="0" fontId="0" fillId="0" borderId="7" xfId="0" applyFont="1" applyBorder="1" applyProtection="1">
      <protection hidden="1"/>
    </xf>
    <xf numFmtId="44" fontId="3" fillId="5" borderId="8" xfId="0" applyNumberFormat="1" applyFont="1" applyFill="1" applyBorder="1" applyAlignment="1" applyProtection="1">
      <alignment horizontal="center"/>
      <protection hidden="1"/>
    </xf>
  </cellXfs>
  <cellStyles count="2">
    <cellStyle name="Moneda" xfId="1" builtinId="4"/>
    <cellStyle name="Normal" xfId="0" builtinId="0"/>
  </cellStyles>
  <dxfs count="52">
    <dxf>
      <font>
        <b/>
        <i val="0"/>
        <strike val="0"/>
        <condense val="0"/>
        <extend val="0"/>
        <outline val="0"/>
        <shadow val="0"/>
        <u val="none"/>
        <vertAlign val="baseline"/>
        <sz val="11"/>
        <color theme="1"/>
        <name val="Calibri"/>
        <family val="2"/>
        <scheme val="minor"/>
      </font>
      <numFmt numFmtId="34" formatCode="_-* #,##0.00\ &quot;€&quot;_-;\-* #,##0.00\ &quot;€&quot;_-;_-* &quot;-&quot;??\ &quot;€&quot;_-;_-@_-"/>
      <fill>
        <patternFill patternType="solid">
          <fgColor indexed="64"/>
          <bgColor theme="4" tint="0.59999389629810485"/>
        </patternFill>
      </fill>
      <alignment horizontal="center" vertical="bottom" textRotation="0" wrapText="0" indent="0" justifyLastLine="0" shrinkToFit="0" readingOrder="0"/>
      <border diagonalUp="0" diagonalDown="0" outline="0">
        <left style="thin">
          <color indexed="64"/>
        </left>
        <right/>
        <top style="thin">
          <color indexed="64"/>
        </top>
        <bottom/>
      </border>
      <protection locked="1" hidden="1"/>
    </dxf>
    <dxf>
      <font>
        <b/>
        <i val="0"/>
        <strike val="0"/>
        <condense val="0"/>
        <extend val="0"/>
        <outline val="0"/>
        <shadow val="0"/>
        <u val="none"/>
        <vertAlign val="baseline"/>
        <sz val="11"/>
        <color theme="1"/>
        <name val="Calibri"/>
        <family val="2"/>
        <scheme val="minor"/>
      </font>
      <numFmt numFmtId="34" formatCode="_-* #,##0.00\ &quot;€&quot;_-;\-* #,##0.00\ &quot;€&quot;_-;_-* &quot;-&quot;??\ &quot;€&quot;_-;_-@_-"/>
      <fill>
        <patternFill patternType="solid">
          <fgColor indexed="64"/>
          <bgColor theme="4" tint="0.59999389629810485"/>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protection locked="1" hidden="1"/>
    </dxf>
    <dxf>
      <font>
        <b/>
        <i val="0"/>
        <strike val="0"/>
        <condense val="0"/>
        <extend val="0"/>
        <outline val="0"/>
        <shadow val="0"/>
        <u val="none"/>
        <vertAlign val="baseline"/>
        <sz val="11"/>
        <color theme="1"/>
        <name val="Calibri"/>
        <family val="2"/>
        <scheme val="minor"/>
      </font>
      <numFmt numFmtId="34" formatCode="_-* #,##0.00\ &quot;€&quot;_-;\-* #,##0.00\ &quot;€&quot;_-;_-* &quot;-&quot;??\ &quot;€&quot;_-;_-@_-"/>
      <fill>
        <patternFill patternType="solid">
          <fgColor indexed="64"/>
          <bgColor theme="4" tint="0.59999389629810485"/>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protection locked="1" hidden="1"/>
    </dxf>
    <dxf>
      <border diagonalUp="0" diagonalDown="0" outline="0">
        <left style="thin">
          <color indexed="64"/>
        </left>
        <right style="thin">
          <color indexed="64"/>
        </right>
        <top style="thin">
          <color indexed="64"/>
        </top>
        <bottom/>
      </border>
      <protection locked="1" hidden="1"/>
    </dxf>
    <dxf>
      <border diagonalUp="0" diagonalDown="0" outline="0">
        <left style="thin">
          <color indexed="64"/>
        </left>
        <right style="thin">
          <color indexed="64"/>
        </right>
        <top style="thin">
          <color indexed="64"/>
        </top>
        <bottom/>
      </border>
      <protection locked="1" hidden="1"/>
    </dxf>
    <dxf>
      <alignment horizontal="right" vertical="bottom" textRotation="0" wrapText="0" indent="0" justifyLastLine="0" shrinkToFit="0" readingOrder="0"/>
      <border diagonalUp="0" diagonalDown="0" outline="0">
        <left style="thin">
          <color indexed="64"/>
        </left>
        <right style="thin">
          <color indexed="64"/>
        </right>
        <top style="thin">
          <color indexed="64"/>
        </top>
        <bottom/>
      </border>
      <protection locked="1" hidden="1"/>
    </dxf>
    <dxf>
      <font>
        <b val="0"/>
        <i val="0"/>
        <strike val="0"/>
        <condense val="0"/>
        <extend val="0"/>
        <outline val="0"/>
        <shadow val="0"/>
        <u val="none"/>
        <vertAlign val="baseline"/>
        <sz val="11"/>
        <color theme="1"/>
        <name val="Calibri"/>
        <family val="2"/>
        <scheme val="minor"/>
      </font>
      <border diagonalUp="0" diagonalDown="0" outline="0">
        <left style="thin">
          <color indexed="64"/>
        </left>
        <right style="thin">
          <color indexed="64"/>
        </right>
        <top style="thin">
          <color indexed="64"/>
        </top>
        <bottom/>
      </border>
      <protection locked="1" hidden="1"/>
    </dxf>
    <dxf>
      <border diagonalUp="0" diagonalDown="0" outline="0">
        <left style="thin">
          <color indexed="64"/>
        </left>
        <right style="thin">
          <color indexed="64"/>
        </right>
        <top style="thin">
          <color indexed="64"/>
        </top>
        <bottom/>
      </border>
      <protection locked="1" hidden="1"/>
    </dxf>
    <dxf>
      <font>
        <b/>
        <i val="0"/>
        <strike val="0"/>
        <condense val="0"/>
        <extend val="0"/>
        <outline val="0"/>
        <shadow val="0"/>
        <u val="none"/>
        <vertAlign val="baseline"/>
        <sz val="11"/>
        <color theme="1"/>
        <name val="Calibri"/>
        <family val="2"/>
        <scheme val="minor"/>
      </font>
      <numFmt numFmtId="34" formatCode="_-* #,##0.00\ &quot;€&quot;_-;\-* #,##0.00\ &quot;€&quot;_-;_-* &quot;-&quot;??\ &quot;€&quot;_-;_-@_-"/>
      <fill>
        <patternFill patternType="solid">
          <fgColor indexed="64"/>
          <bgColor theme="4" tint="0.59999389629810485"/>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protection locked="1" hidden="1"/>
    </dxf>
    <dxf>
      <border diagonalUp="0" diagonalDown="0" outline="0">
        <left style="thin">
          <color indexed="64"/>
        </left>
        <right style="thin">
          <color indexed="64"/>
        </right>
        <top style="thin">
          <color indexed="64"/>
        </top>
        <bottom/>
      </border>
      <protection locked="1" hidden="1"/>
    </dxf>
    <dxf>
      <border diagonalUp="0" diagonalDown="0" outline="0">
        <left style="thin">
          <color indexed="64"/>
        </left>
        <right style="thin">
          <color indexed="64"/>
        </right>
        <top style="thin">
          <color indexed="64"/>
        </top>
        <bottom/>
      </border>
      <protection locked="1" hidden="1"/>
    </dxf>
    <dxf>
      <border diagonalUp="0" diagonalDown="0" outline="0">
        <left style="thin">
          <color indexed="64"/>
        </left>
        <right style="thin">
          <color indexed="64"/>
        </right>
        <top style="thin">
          <color indexed="64"/>
        </top>
        <bottom/>
      </border>
      <protection locked="1" hidden="1"/>
    </dxf>
    <dxf>
      <border diagonalUp="0" diagonalDown="0" outline="0">
        <left style="thin">
          <color indexed="64"/>
        </left>
        <right style="thin">
          <color indexed="64"/>
        </right>
        <top style="thin">
          <color indexed="64"/>
        </top>
        <bottom/>
      </border>
      <protection locked="1" hidden="1"/>
    </dxf>
    <dxf>
      <border diagonalUp="0" diagonalDown="0" outline="0">
        <left style="thin">
          <color indexed="64"/>
        </left>
        <right style="thin">
          <color indexed="64"/>
        </right>
        <top style="thin">
          <color indexed="64"/>
        </top>
        <bottom/>
      </border>
      <protection locked="1" hidden="1"/>
    </dxf>
    <dxf>
      <font>
        <b/>
        <i val="0"/>
        <strike val="0"/>
        <condense val="0"/>
        <extend val="0"/>
        <outline val="0"/>
        <shadow val="0"/>
        <u val="none"/>
        <vertAlign val="baseline"/>
        <sz val="11"/>
        <color theme="1"/>
        <name val="Calibri"/>
        <family val="2"/>
        <scheme val="minor"/>
      </font>
      <fill>
        <patternFill patternType="solid">
          <fgColor indexed="64"/>
          <bgColor theme="4" tint="0.59999389629810485"/>
        </patternFill>
      </fill>
      <alignment horizontal="center" vertical="bottom" textRotation="0" wrapText="0" indent="0" justifyLastLine="0" shrinkToFit="0" readingOrder="0"/>
      <border diagonalUp="0" diagonalDown="0" outline="0">
        <left/>
        <right style="thin">
          <color indexed="64"/>
        </right>
        <top style="thin">
          <color indexed="64"/>
        </top>
        <bottom/>
      </border>
      <protection locked="1" hidden="1"/>
    </dxf>
    <dxf>
      <numFmt numFmtId="34" formatCode="_-* #,##0.00\ &quot;€&quot;_-;\-* #,##0.00\ &quot;€&quot;_-;_-* &quot;-&quot;??\ &quot;€&quot;_-;_-@_-"/>
      <fill>
        <patternFill patternType="solid">
          <fgColor indexed="64"/>
          <bgColor theme="4" tint="0.79998168889431442"/>
        </patternFill>
      </fill>
      <border diagonalUp="0" diagonalDown="0">
        <left style="thin">
          <color indexed="64"/>
        </left>
        <right/>
        <top style="thin">
          <color indexed="64"/>
        </top>
        <bottom style="thin">
          <color indexed="64"/>
        </bottom>
      </border>
      <protection locked="1" hidden="1"/>
    </dxf>
    <dxf>
      <numFmt numFmtId="34" formatCode="_-* #,##0.00\ &quot;€&quot;_-;\-* #,##0.00\ &quot;€&quot;_-;_-* &quot;-&quot;??\ &quot;€&quot;_-;_-@_-"/>
      <fill>
        <patternFill patternType="solid">
          <fgColor indexed="64"/>
          <bgColor theme="4" tint="0.79998168889431442"/>
        </patternFill>
      </fill>
      <border diagonalUp="0" diagonalDown="0">
        <left style="thin">
          <color indexed="64"/>
        </left>
        <right style="thin">
          <color indexed="64"/>
        </right>
        <top style="thin">
          <color indexed="64"/>
        </top>
        <bottom style="thin">
          <color indexed="64"/>
        </bottom>
      </border>
      <protection locked="1" hidden="1"/>
    </dxf>
    <dxf>
      <numFmt numFmtId="34" formatCode="_-* #,##0.00\ &quot;€&quot;_-;\-* #,##0.00\ &quot;€&quot;_-;_-* &quot;-&quot;??\ &quot;€&quot;_-;_-@_-"/>
      <fill>
        <patternFill patternType="solid">
          <fgColor indexed="64"/>
          <bgColor theme="4" tint="0.79998168889431442"/>
        </patternFill>
      </fill>
      <border diagonalUp="0" diagonalDown="0">
        <left style="thin">
          <color indexed="64"/>
        </left>
        <right style="thin">
          <color indexed="64"/>
        </right>
        <top style="thin">
          <color indexed="64"/>
        </top>
        <bottom style="thin">
          <color indexed="64"/>
        </bottom>
      </border>
      <protection locked="1" hidden="1"/>
    </dxf>
    <dxf>
      <numFmt numFmtId="34" formatCode="_-* #,##0.00\ &quot;€&quot;_-;\-* #,##0.00\ &quot;€&quot;_-;_-* &quot;-&quot;??\ &quot;€&quot;_-;_-@_-"/>
      <fill>
        <patternFill patternType="solid">
          <fgColor indexed="64"/>
          <bgColor theme="4" tint="0.79998168889431442"/>
        </patternFill>
      </fill>
      <border diagonalUp="0" diagonalDown="0">
        <left style="thin">
          <color indexed="64"/>
        </left>
        <right style="thin">
          <color indexed="64"/>
        </right>
        <top style="thin">
          <color indexed="64"/>
        </top>
        <bottom style="thin">
          <color indexed="64"/>
        </bottom>
      </border>
      <protection locked="1" hidden="1"/>
    </dxf>
    <dxf>
      <numFmt numFmtId="34" formatCode="_-* #,##0.00\ &quot;€&quot;_-;\-* #,##0.00\ &quot;€&quot;_-;_-* &quot;-&quot;??\ &quot;€&quot;_-;_-@_-"/>
      <fill>
        <patternFill patternType="solid">
          <fgColor indexed="64"/>
          <bgColor theme="4" tint="0.79998168889431442"/>
        </patternFill>
      </fill>
      <border diagonalUp="0" diagonalDown="0">
        <left style="thin">
          <color indexed="64"/>
        </left>
        <right style="thin">
          <color indexed="64"/>
        </right>
        <top style="thin">
          <color indexed="64"/>
        </top>
        <bottom style="thin">
          <color indexed="64"/>
        </bottom>
      </border>
      <protection locked="1" hidden="1"/>
    </dxf>
    <dxf>
      <fill>
        <patternFill patternType="solid">
          <fgColor indexed="64"/>
          <bgColor theme="9" tint="0.59999389629810485"/>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0" hidden="1"/>
    </dxf>
    <dxf>
      <font>
        <b val="0"/>
        <i val="0"/>
        <strike val="0"/>
        <condense val="0"/>
        <extend val="0"/>
        <outline val="0"/>
        <shadow val="0"/>
        <u val="none"/>
        <vertAlign val="baseline"/>
        <sz val="11"/>
        <color theme="1"/>
        <name val="Calibri"/>
        <scheme val="minor"/>
      </font>
      <numFmt numFmtId="34" formatCode="_-* #,##0.00\ &quot;€&quot;_-;\-* #,##0.00\ &quot;€&quot;_-;_-* &quot;-&quot;??\ &quot;€&quot;_-;_-@_-"/>
      <fill>
        <patternFill patternType="solid">
          <fgColor indexed="64"/>
          <bgColor theme="4" tint="0.79998168889431442"/>
        </patternFill>
      </fill>
      <border diagonalUp="0" diagonalDown="0">
        <left style="thin">
          <color indexed="64"/>
        </left>
        <right style="thin">
          <color indexed="64"/>
        </right>
        <top style="thin">
          <color indexed="64"/>
        </top>
        <bottom style="thin">
          <color indexed="64"/>
        </bottom>
      </border>
      <protection locked="1" hidden="1"/>
    </dxf>
    <dxf>
      <numFmt numFmtId="34" formatCode="_-* #,##0.00\ &quot;€&quot;_-;\-* #,##0.00\ &quot;€&quot;_-;_-* &quot;-&quot;??\ &quot;€&quot;_-;_-@_-"/>
      <fill>
        <patternFill patternType="solid">
          <fgColor indexed="64"/>
          <bgColor theme="4" tint="0.79998168889431442"/>
        </patternFill>
      </fill>
      <border diagonalUp="0" diagonalDown="0">
        <left style="thin">
          <color indexed="64"/>
        </left>
        <right style="thin">
          <color indexed="64"/>
        </right>
        <top style="thin">
          <color indexed="64"/>
        </top>
        <bottom style="thin">
          <color indexed="64"/>
        </bottom>
      </border>
      <protection locked="1" hidden="1"/>
    </dxf>
    <dxf>
      <font>
        <b val="0"/>
        <i val="0"/>
        <strike val="0"/>
        <condense val="0"/>
        <extend val="0"/>
        <outline val="0"/>
        <shadow val="0"/>
        <u val="none"/>
        <vertAlign val="baseline"/>
        <sz val="11"/>
        <color theme="1"/>
        <name val="Calibri"/>
        <scheme val="minor"/>
      </font>
      <fill>
        <patternFill patternType="none">
          <fgColor indexed="64"/>
          <bgColor auto="1"/>
        </patternFill>
      </fill>
      <border diagonalUp="0" diagonalDown="0">
        <left style="thin">
          <color indexed="64"/>
        </left>
        <right style="thin">
          <color indexed="64"/>
        </right>
        <top style="thin">
          <color indexed="64"/>
        </top>
        <bottom style="thin">
          <color indexed="64"/>
        </bottom>
        <vertical/>
        <horizontal/>
      </border>
      <protection locked="1" hidden="1"/>
    </dxf>
    <dxf>
      <font>
        <sz val="10"/>
      </font>
      <numFmt numFmtId="34" formatCode="_-* #,##0.00\ &quot;€&quot;_-;\-* #,##0.00\ &quot;€&quot;_-;_-* &quot;-&quot;??\ &quot;€&quot;_-;_-@_-"/>
      <fill>
        <patternFill patternType="none">
          <fgColor indexed="64"/>
          <bgColor indexed="65"/>
        </patternFill>
      </fill>
      <alignment horizontal="righ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1"/>
    </dxf>
    <dxf>
      <numFmt numFmtId="165" formatCode="0.0000"/>
      <fill>
        <patternFill patternType="none">
          <fgColor indexed="64"/>
          <bgColor auto="1"/>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1"/>
    </dxf>
    <dxf>
      <fill>
        <patternFill patternType="none">
          <fgColor indexed="64"/>
          <bgColor auto="1"/>
        </patternFill>
      </fill>
      <border diagonalUp="0" diagonalDown="0">
        <left style="thin">
          <color indexed="64"/>
        </left>
        <right style="thin">
          <color indexed="64"/>
        </right>
        <top style="thin">
          <color indexed="64"/>
        </top>
        <bottom style="thin">
          <color indexed="64"/>
        </bottom>
        <vertical/>
        <horizontal/>
      </border>
      <protection locked="1" hidden="1"/>
    </dxf>
    <dxf>
      <fill>
        <patternFill patternType="none">
          <fgColor indexed="64"/>
          <bgColor auto="1"/>
        </patternFill>
      </fill>
      <border diagonalUp="0" diagonalDown="0">
        <left style="thin">
          <color indexed="64"/>
        </left>
        <right style="thin">
          <color indexed="64"/>
        </right>
        <top style="thin">
          <color indexed="64"/>
        </top>
        <bottom style="thin">
          <color indexed="64"/>
        </bottom>
        <vertical/>
        <horizontal/>
      </border>
      <protection locked="1" hidden="1"/>
    </dxf>
    <dxf>
      <fill>
        <patternFill patternType="none">
          <fgColor indexed="64"/>
          <bgColor auto="1"/>
        </patternFill>
      </fill>
      <border diagonalUp="0" diagonalDown="0">
        <left style="thin">
          <color indexed="64"/>
        </left>
        <right style="thin">
          <color indexed="64"/>
        </right>
        <top style="thin">
          <color indexed="64"/>
        </top>
        <bottom style="thin">
          <color indexed="64"/>
        </bottom>
        <vertical/>
        <horizontal/>
      </border>
      <protection locked="1" hidden="1"/>
    </dxf>
    <dxf>
      <fill>
        <patternFill patternType="none">
          <fgColor indexed="64"/>
          <bgColor auto="1"/>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1"/>
    </dxf>
    <dxf>
      <border>
        <top style="thin">
          <color rgb="FF000000"/>
        </top>
      </border>
    </dxf>
    <dxf>
      <border diagonalUp="0" diagonalDown="0">
        <left style="thin">
          <color rgb="FF000000"/>
        </left>
        <right style="thin">
          <color rgb="FF000000"/>
        </right>
        <top/>
        <bottom/>
        <vertical style="thin">
          <color rgb="FF000000"/>
        </vertical>
        <horizontal style="thin">
          <color rgb="FF000000"/>
        </horizontal>
      </border>
      <protection locked="1" hidden="1"/>
    </dxf>
    <dxf>
      <border diagonalUp="0" diagonalDown="0">
        <left style="thin">
          <color rgb="FF000000"/>
        </left>
        <right style="thin">
          <color rgb="FF000000"/>
        </right>
        <top style="thin">
          <color rgb="FF000000"/>
        </top>
        <bottom style="thin">
          <color rgb="FF000000"/>
        </bottom>
      </border>
    </dxf>
    <dxf>
      <protection locked="1" hidden="1"/>
    </dxf>
    <dxf>
      <border>
        <bottom style="thin">
          <color rgb="FF000000"/>
        </bottom>
      </border>
    </dxf>
    <dxf>
      <font>
        <b/>
        <i val="0"/>
        <strike val="0"/>
        <condense val="0"/>
        <extend val="0"/>
        <outline val="0"/>
        <shadow val="0"/>
        <u val="none"/>
        <vertAlign val="baseline"/>
        <sz val="8"/>
        <color theme="1"/>
        <name val="Arial"/>
        <scheme val="none"/>
      </font>
      <fill>
        <patternFill patternType="solid">
          <fgColor indexed="64"/>
          <bgColor theme="0" tint="-0.14999847407452621"/>
        </patternFill>
      </fill>
      <alignment horizontal="center" vertical="center"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protection locked="1" hidden="1"/>
    </dxf>
    <dxf>
      <font>
        <b/>
        <i val="0"/>
        <strike val="0"/>
        <condense val="0"/>
        <extend val="0"/>
        <outline val="0"/>
        <shadow val="0"/>
        <u val="none"/>
        <vertAlign val="baseline"/>
        <sz val="11"/>
        <color theme="1"/>
        <name val="Calibri"/>
        <scheme val="minor"/>
      </font>
      <numFmt numFmtId="34" formatCode="_-* #,##0.00\ &quot;€&quot;_-;\-* #,##0.00\ &quot;€&quot;_-;_-* &quot;-&quot;??\ &quot;€&quot;_-;_-@_-"/>
      <border diagonalUp="0" diagonalDown="0" outline="0">
        <left style="thin">
          <color indexed="64"/>
        </left>
        <right style="thin">
          <color indexed="64"/>
        </right>
        <top style="thin">
          <color indexed="64"/>
        </top>
        <bottom/>
      </border>
      <protection locked="1" hidden="1"/>
    </dxf>
    <dxf>
      <font>
        <b val="0"/>
        <i val="0"/>
        <strike val="0"/>
        <condense val="0"/>
        <extend val="0"/>
        <outline val="0"/>
        <shadow val="0"/>
        <u val="none"/>
        <vertAlign val="baseline"/>
        <sz val="10"/>
        <color theme="1"/>
        <name val="Calibri"/>
        <scheme val="minor"/>
      </font>
      <border diagonalUp="0" diagonalDown="0">
        <left style="thin">
          <color indexed="64"/>
        </left>
        <right style="thin">
          <color indexed="64"/>
        </right>
        <top style="thin">
          <color indexed="64"/>
        </top>
        <bottom style="thin">
          <color indexed="64"/>
        </bottom>
        <vertical/>
        <horizontal/>
      </border>
      <protection locked="1" hidden="1"/>
    </dxf>
    <dxf>
      <border diagonalUp="0" diagonalDown="0" outline="0">
        <left style="thin">
          <color indexed="64"/>
        </left>
        <right style="thin">
          <color indexed="64"/>
        </right>
        <top style="thin">
          <color indexed="64"/>
        </top>
        <bottom/>
      </border>
      <protection locked="1" hidden="1"/>
    </dxf>
    <dxf>
      <fill>
        <patternFill patternType="none">
          <fgColor indexed="64"/>
          <bgColor auto="1"/>
        </patternFill>
      </fill>
      <border diagonalUp="0" diagonalDown="0">
        <left style="thin">
          <color indexed="64"/>
        </left>
        <right style="thin">
          <color indexed="64"/>
        </right>
        <top style="thin">
          <color indexed="64"/>
        </top>
        <bottom style="thin">
          <color indexed="64"/>
        </bottom>
      </border>
      <protection locked="1" hidden="1"/>
    </dxf>
    <dxf>
      <border diagonalUp="0" diagonalDown="0" outline="0">
        <left style="thin">
          <color indexed="64"/>
        </left>
        <right style="thin">
          <color indexed="64"/>
        </right>
        <top style="thin">
          <color indexed="64"/>
        </top>
        <bottom/>
      </border>
      <protection locked="1" hidden="1"/>
    </dxf>
    <dxf>
      <fill>
        <patternFill patternType="none">
          <fgColor indexed="64"/>
          <bgColor auto="1"/>
        </patternFill>
      </fill>
      <border diagonalUp="0" diagonalDown="0">
        <left style="thin">
          <color indexed="64"/>
        </left>
        <right style="thin">
          <color indexed="64"/>
        </right>
        <top style="thin">
          <color indexed="64"/>
        </top>
        <bottom style="thin">
          <color indexed="64"/>
        </bottom>
      </border>
      <protection locked="1" hidden="1"/>
    </dxf>
    <dxf>
      <border diagonalUp="0" diagonalDown="0" outline="0">
        <left style="thin">
          <color indexed="64"/>
        </left>
        <right style="thin">
          <color indexed="64"/>
        </right>
        <top style="thin">
          <color indexed="64"/>
        </top>
        <bottom/>
      </border>
      <protection locked="1" hidden="1"/>
    </dxf>
    <dxf>
      <fill>
        <patternFill patternType="none">
          <fgColor indexed="64"/>
          <bgColor auto="1"/>
        </patternFill>
      </fill>
      <border diagonalUp="0" diagonalDown="0">
        <left style="thin">
          <color indexed="64"/>
        </left>
        <right style="thin">
          <color indexed="64"/>
        </right>
        <top style="thin">
          <color indexed="64"/>
        </top>
        <bottom style="thin">
          <color indexed="64"/>
        </bottom>
      </border>
      <protection locked="1" hidden="1"/>
    </dxf>
    <dxf>
      <font>
        <b/>
        <i val="0"/>
        <strike val="0"/>
        <condense val="0"/>
        <extend val="0"/>
        <outline val="0"/>
        <shadow val="0"/>
        <u val="none"/>
        <vertAlign val="baseline"/>
        <sz val="11"/>
        <color theme="1"/>
        <name val="Calibri"/>
        <scheme val="minor"/>
      </font>
      <fill>
        <patternFill patternType="solid">
          <fgColor indexed="64"/>
          <bgColor theme="4" tint="0.59999389629810485"/>
        </patternFill>
      </fill>
      <alignment horizontal="center" vertical="bottom" textRotation="0" wrapText="0" indent="0" justifyLastLine="0" shrinkToFit="0" readingOrder="0"/>
      <border diagonalUp="0" diagonalDown="0" outline="0">
        <left/>
        <right style="thin">
          <color indexed="64"/>
        </right>
        <top style="thin">
          <color indexed="64"/>
        </top>
        <bottom/>
      </border>
      <protection locked="1" hidden="1"/>
    </dxf>
    <dxf>
      <fill>
        <patternFill patternType="none">
          <fgColor indexed="64"/>
          <bgColor auto="1"/>
        </patternFill>
      </fill>
      <alignment horizontal="center" vertical="bottom" textRotation="0" wrapText="0" indent="0" justifyLastLine="0" shrinkToFit="0" readingOrder="0"/>
      <border diagonalUp="0" diagonalDown="0">
        <left/>
        <right style="thin">
          <color indexed="64"/>
        </right>
        <top style="thin">
          <color indexed="64"/>
        </top>
        <bottom style="thin">
          <color indexed="64"/>
        </bottom>
      </border>
      <protection locked="1" hidden="1"/>
    </dxf>
    <dxf>
      <border>
        <top style="thin">
          <color rgb="FF000000"/>
        </top>
      </border>
    </dxf>
    <dxf>
      <border diagonalUp="0" diagonalDown="0">
        <left style="thin">
          <color rgb="FF000000"/>
        </left>
        <right style="thin">
          <color rgb="FF000000"/>
        </right>
        <top/>
        <bottom/>
        <vertical style="thin">
          <color rgb="FF000000"/>
        </vertical>
        <horizontal style="thin">
          <color rgb="FF000000"/>
        </horizontal>
      </border>
      <protection locked="1" hidden="1"/>
    </dxf>
    <dxf>
      <border diagonalUp="0" diagonalDown="0">
        <left style="thin">
          <color rgb="FF000000"/>
        </left>
        <right style="thin">
          <color rgb="FF000000"/>
        </right>
        <top style="thin">
          <color rgb="FF000000"/>
        </top>
        <bottom style="thin">
          <color rgb="FF000000"/>
        </bottom>
      </border>
    </dxf>
    <dxf>
      <protection locked="1" hidden="1"/>
    </dxf>
    <dxf>
      <border>
        <bottom style="thin">
          <color rgb="FF000000"/>
        </bottom>
      </border>
    </dxf>
    <dxf>
      <font>
        <b/>
        <i val="0"/>
        <strike val="0"/>
        <condense val="0"/>
        <extend val="0"/>
        <outline val="0"/>
        <shadow val="0"/>
        <u val="none"/>
        <vertAlign val="baseline"/>
        <sz val="8"/>
        <color theme="1"/>
        <name val="Arial"/>
        <scheme val="none"/>
      </font>
      <fill>
        <patternFill patternType="solid">
          <fgColor indexed="64"/>
          <bgColor theme="0" tint="-0.14999847407452621"/>
        </patternFill>
      </fill>
      <alignment horizontal="center" vertical="center"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protection locked="1" hidden="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xdr:from>
      <xdr:col>0</xdr:col>
      <xdr:colOff>114300</xdr:colOff>
      <xdr:row>1</xdr:row>
      <xdr:rowOff>0</xdr:rowOff>
    </xdr:from>
    <xdr:to>
      <xdr:col>11</xdr:col>
      <xdr:colOff>733425</xdr:colOff>
      <xdr:row>34</xdr:row>
      <xdr:rowOff>123817</xdr:rowOff>
    </xdr:to>
    <xdr:sp macro="" textlink="">
      <xdr:nvSpPr>
        <xdr:cNvPr id="2" name="CuadroTexto 1">
          <a:extLst>
            <a:ext uri="{FF2B5EF4-FFF2-40B4-BE49-F238E27FC236}">
              <a16:creationId xmlns:a16="http://schemas.microsoft.com/office/drawing/2014/main" id="{00000000-0008-0000-0300-000002000000}"/>
            </a:ext>
          </a:extLst>
        </xdr:cNvPr>
        <xdr:cNvSpPr txBox="1"/>
      </xdr:nvSpPr>
      <xdr:spPr>
        <a:xfrm>
          <a:off x="114300" y="190500"/>
          <a:ext cx="9001125" cy="64103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6350" marR="1270" indent="-6350" algn="l">
            <a:lnSpc>
              <a:spcPct val="107000"/>
            </a:lnSpc>
            <a:spcAft>
              <a:spcPts val="0"/>
            </a:spcAft>
          </a:pPr>
          <a:r>
            <a:rPr lang="es-ES" sz="1100" b="1">
              <a:solidFill>
                <a:schemeClr val="accent1">
                  <a:lumMod val="75000"/>
                </a:schemeClr>
              </a:solidFill>
              <a:effectLst/>
              <a:latin typeface="+mn-lt"/>
              <a:ea typeface="Times New Roman" panose="02020603050405020304" pitchFamily="18" charset="0"/>
            </a:rPr>
            <a:t>COEFICIENTE ÚNICO  </a:t>
          </a:r>
        </a:p>
        <a:p>
          <a:pPr marL="6350" marR="1270" indent="-6350" algn="l">
            <a:lnSpc>
              <a:spcPct val="107000"/>
            </a:lnSpc>
            <a:spcAft>
              <a:spcPts val="0"/>
            </a:spcAft>
          </a:pPr>
          <a:r>
            <a:rPr lang="es-ES" sz="1100" b="1">
              <a:solidFill>
                <a:srgbClr val="000000"/>
              </a:solidFill>
              <a:effectLst/>
              <a:latin typeface="+mn-lt"/>
              <a:ea typeface="Times New Roman" panose="02020603050405020304" pitchFamily="18" charset="0"/>
            </a:rPr>
            <a:t>¿Qué es el Coeficiente Único?  </a:t>
          </a:r>
        </a:p>
        <a:p>
          <a:pPr marL="6350" marR="1270" indent="-6350" algn="just">
            <a:lnSpc>
              <a:spcPct val="106000"/>
            </a:lnSpc>
            <a:spcAft>
              <a:spcPts val="0"/>
            </a:spcAft>
          </a:pPr>
          <a:r>
            <a:rPr lang="es-ES" sz="1100">
              <a:solidFill>
                <a:srgbClr val="000000"/>
              </a:solidFill>
              <a:effectLst/>
              <a:latin typeface="+mn-lt"/>
              <a:ea typeface="Times New Roman" panose="02020603050405020304" pitchFamily="18" charset="0"/>
            </a:rPr>
            <a:t>El Coeficiente Único es un valor que permite ajustar proporcionalmente la cuantía que corresponde a cada empleado en función de su tiempo de prestación de servicios y el porcentaje de jornada que ha mantenido durante el año de evaluación. Este coeficiente garantiza que el cálculo se adapte a las condiciones de cada empleado. </a:t>
          </a:r>
        </a:p>
        <a:p>
          <a:pPr marL="6350" marR="1270" indent="-6350" algn="l">
            <a:lnSpc>
              <a:spcPct val="107000"/>
            </a:lnSpc>
            <a:spcAft>
              <a:spcPts val="0"/>
            </a:spcAft>
          </a:pPr>
          <a:r>
            <a:rPr lang="es-ES" sz="1100">
              <a:solidFill>
                <a:srgbClr val="000000"/>
              </a:solidFill>
              <a:effectLst/>
              <a:latin typeface="+mn-lt"/>
              <a:ea typeface="Times New Roman" panose="02020603050405020304" pitchFamily="18" charset="0"/>
            </a:rPr>
            <a:t>¿Cómo se obtiene?  </a:t>
          </a:r>
        </a:p>
        <a:p>
          <a:pPr marL="6350" marR="2391410" indent="-6350" algn="just">
            <a:lnSpc>
              <a:spcPct val="215000"/>
            </a:lnSpc>
            <a:spcAft>
              <a:spcPts val="0"/>
            </a:spcAft>
          </a:pPr>
          <a:r>
            <a:rPr lang="es-ES" sz="1100">
              <a:solidFill>
                <a:srgbClr val="000000"/>
              </a:solidFill>
              <a:effectLst/>
              <a:latin typeface="+mn-lt"/>
              <a:ea typeface="Times New Roman" panose="02020603050405020304" pitchFamily="18" charset="0"/>
            </a:rPr>
            <a:t>Se calcula aplicando la siguiente fórmula: Coeficiente Único = ∑((Días / 365) × Jornada) </a:t>
          </a:r>
        </a:p>
        <a:p>
          <a:pPr marL="6350" marR="1270" indent="-6350" algn="just">
            <a:lnSpc>
              <a:spcPct val="106000"/>
            </a:lnSpc>
            <a:spcAft>
              <a:spcPts val="0"/>
            </a:spcAft>
          </a:pPr>
          <a:r>
            <a:rPr lang="es-ES" sz="1100">
              <a:solidFill>
                <a:srgbClr val="000000"/>
              </a:solidFill>
              <a:effectLst/>
              <a:latin typeface="+mn-lt"/>
              <a:ea typeface="Times New Roman" panose="02020603050405020304" pitchFamily="18" charset="0"/>
            </a:rPr>
            <a:t>Donde: </a:t>
          </a:r>
        </a:p>
        <a:p>
          <a:pPr marL="342900" marR="1270" lvl="0" indent="-342900" algn="just" fontAlgn="base">
            <a:lnSpc>
              <a:spcPct val="106000"/>
            </a:lnSpc>
            <a:spcAft>
              <a:spcPts val="0"/>
            </a:spcAft>
            <a:buClr>
              <a:srgbClr val="000000"/>
            </a:buClr>
            <a:buSzPts val="1000"/>
            <a:buFont typeface="Arial" panose="020B0604020202020204" pitchFamily="34" charset="0"/>
            <a:buChar char="•"/>
          </a:pPr>
          <a:r>
            <a:rPr lang="es-ES" sz="1100" u="none" strike="noStrike">
              <a:solidFill>
                <a:srgbClr val="000000"/>
              </a:solidFill>
              <a:effectLst/>
              <a:uFill>
                <a:solidFill>
                  <a:srgbClr val="000000"/>
                </a:solidFill>
              </a:uFill>
              <a:latin typeface="+mn-lt"/>
              <a:ea typeface="Arial" panose="020B0604020202020204" pitchFamily="34" charset="0"/>
              <a:cs typeface="Arial" panose="020B0604020202020204" pitchFamily="34" charset="0"/>
            </a:rPr>
            <a:t>Días: Número de días contratados en cada tramo del año en el que se haya mantenido un porcentaje de jornada concreto. </a:t>
          </a:r>
        </a:p>
        <a:p>
          <a:pPr marL="342900" marR="1270" lvl="0" indent="-342900" algn="just" fontAlgn="base">
            <a:lnSpc>
              <a:spcPct val="106000"/>
            </a:lnSpc>
            <a:spcAft>
              <a:spcPts val="0"/>
            </a:spcAft>
            <a:buClr>
              <a:srgbClr val="000000"/>
            </a:buClr>
            <a:buSzPts val="1000"/>
            <a:buFont typeface="Arial" panose="020B0604020202020204" pitchFamily="34" charset="0"/>
            <a:buChar char="•"/>
          </a:pPr>
          <a:r>
            <a:rPr lang="es-ES" sz="1100" u="none" strike="noStrike">
              <a:solidFill>
                <a:srgbClr val="000000"/>
              </a:solidFill>
              <a:effectLst/>
              <a:uFill>
                <a:solidFill>
                  <a:srgbClr val="000000"/>
                </a:solidFill>
              </a:uFill>
              <a:latin typeface="+mn-lt"/>
              <a:ea typeface="Arial" panose="020B0604020202020204" pitchFamily="34" charset="0"/>
              <a:cs typeface="Arial" panose="020B0604020202020204" pitchFamily="34" charset="0"/>
            </a:rPr>
            <a:t>Jornada: Porcentaje de jornada laboral correspondiente a ese tramo (por ejemplo, 1 para jornada completa, 0.5 para media jornada). </a:t>
          </a:r>
        </a:p>
        <a:p>
          <a:pPr marL="6350" marR="1270" indent="-6350" algn="just">
            <a:lnSpc>
              <a:spcPct val="106000"/>
            </a:lnSpc>
            <a:spcAft>
              <a:spcPts val="0"/>
            </a:spcAft>
          </a:pPr>
          <a:r>
            <a:rPr lang="es-ES" sz="1100">
              <a:solidFill>
                <a:srgbClr val="000000"/>
              </a:solidFill>
              <a:effectLst/>
              <a:latin typeface="+mn-lt"/>
              <a:ea typeface="Times New Roman" panose="02020603050405020304" pitchFamily="18" charset="0"/>
            </a:rPr>
            <a:t>Este cálculo se realiza sumando todos los tramos del año en los que haya habido variaciones en la jornada o en la relación contractual, obteniendo así un valor único que representa el grado de cómputo anual aplicable. </a:t>
          </a:r>
        </a:p>
        <a:p>
          <a:pPr marL="6350" marR="1270" indent="-6350" algn="l">
            <a:lnSpc>
              <a:spcPct val="107000"/>
            </a:lnSpc>
            <a:spcAft>
              <a:spcPts val="0"/>
            </a:spcAft>
          </a:pPr>
          <a:r>
            <a:rPr lang="es-ES" sz="1100">
              <a:solidFill>
                <a:srgbClr val="000000"/>
              </a:solidFill>
              <a:effectLst/>
              <a:latin typeface="+mn-lt"/>
              <a:ea typeface="Times New Roman" panose="02020603050405020304" pitchFamily="18" charset="0"/>
            </a:rPr>
            <a:t>Interpretación de valores </a:t>
          </a:r>
        </a:p>
        <a:p>
          <a:pPr marL="342900" marR="1270" lvl="0" indent="-342900" algn="just" fontAlgn="base">
            <a:lnSpc>
              <a:spcPct val="106000"/>
            </a:lnSpc>
            <a:spcAft>
              <a:spcPts val="0"/>
            </a:spcAft>
            <a:buClr>
              <a:srgbClr val="000000"/>
            </a:buClr>
            <a:buSzPts val="1000"/>
            <a:buFont typeface="Arial" panose="020B0604020202020204" pitchFamily="34" charset="0"/>
            <a:buChar char="•"/>
          </a:pPr>
          <a:r>
            <a:rPr lang="es-ES" sz="1100" u="none" strike="noStrike">
              <a:solidFill>
                <a:srgbClr val="000000"/>
              </a:solidFill>
              <a:effectLst/>
              <a:uFill>
                <a:solidFill>
                  <a:srgbClr val="000000"/>
                </a:solidFill>
              </a:uFill>
              <a:latin typeface="+mn-lt"/>
              <a:ea typeface="Arial" panose="020B0604020202020204" pitchFamily="34" charset="0"/>
              <a:cs typeface="Arial" panose="020B0604020202020204" pitchFamily="34" charset="0"/>
            </a:rPr>
            <a:t>Un coeficiente de 1 indica que se han contabilizado los 365 días del año y que el empleado ha trabajado a jornada completa durante todo el periodo evaluado. </a:t>
          </a:r>
        </a:p>
        <a:p>
          <a:pPr marL="342900" marR="1270" lvl="0" indent="-342900" algn="just" fontAlgn="base">
            <a:lnSpc>
              <a:spcPct val="106000"/>
            </a:lnSpc>
            <a:spcAft>
              <a:spcPts val="0"/>
            </a:spcAft>
            <a:buClr>
              <a:srgbClr val="000000"/>
            </a:buClr>
            <a:buSzPts val="1000"/>
            <a:buFont typeface="Arial" panose="020B0604020202020204" pitchFamily="34" charset="0"/>
            <a:buChar char="•"/>
          </a:pPr>
          <a:r>
            <a:rPr lang="es-ES" sz="1100" u="none" strike="noStrike">
              <a:solidFill>
                <a:srgbClr val="000000"/>
              </a:solidFill>
              <a:effectLst/>
              <a:uFill>
                <a:solidFill>
                  <a:srgbClr val="000000"/>
                </a:solidFill>
              </a:uFill>
              <a:latin typeface="+mn-lt"/>
              <a:ea typeface="Arial" panose="020B0604020202020204" pitchFamily="34" charset="0"/>
              <a:cs typeface="Arial" panose="020B0604020202020204" pitchFamily="34" charset="0"/>
            </a:rPr>
            <a:t>Cuando el coeficiente se aplica por tiempo, significa que ha habido periodos sin relación laboral o situaciones administrativas que afectan el cómputo, como: o Tiempo como reservista o Suspensión de empleo y sueldo por expediente disciplinario o Días sin sueldo/Permisos por asuntos propios </a:t>
          </a:r>
        </a:p>
        <a:p>
          <a:pPr marL="342900" marR="1270" lvl="0" indent="-342900" algn="just" fontAlgn="base">
            <a:lnSpc>
              <a:spcPct val="106000"/>
            </a:lnSpc>
            <a:spcAft>
              <a:spcPts val="0"/>
            </a:spcAft>
            <a:buClr>
              <a:srgbClr val="000000"/>
            </a:buClr>
            <a:buSzPts val="1000"/>
            <a:buFont typeface="Arial" panose="020B0604020202020204" pitchFamily="34" charset="0"/>
            <a:buChar char="•"/>
          </a:pPr>
          <a:r>
            <a:rPr lang="es-ES" sz="1100" u="none" strike="noStrike">
              <a:solidFill>
                <a:srgbClr val="000000"/>
              </a:solidFill>
              <a:effectLst/>
              <a:uFill>
                <a:solidFill>
                  <a:srgbClr val="000000"/>
                </a:solidFill>
              </a:uFill>
              <a:latin typeface="+mn-lt"/>
              <a:ea typeface="Arial" panose="020B0604020202020204" pitchFamily="34" charset="0"/>
              <a:cs typeface="Arial" panose="020B0604020202020204" pitchFamily="34" charset="0"/>
            </a:rPr>
            <a:t>Cuando el coeficiente se aplica por jornada, se refiere a empleados que han trabajado menos horas que la jornada habitual de su puesto de trabajo. Esta reducción afecta proporcionalmente al cómputo anual. </a:t>
          </a:r>
        </a:p>
        <a:p>
          <a:pPr marL="6350" marR="1270" indent="-6350" algn="l">
            <a:lnSpc>
              <a:spcPct val="107000"/>
            </a:lnSpc>
            <a:spcAft>
              <a:spcPts val="0"/>
            </a:spcAft>
          </a:pPr>
          <a:endParaRPr lang="es-ES" sz="1100">
            <a:solidFill>
              <a:srgbClr val="000000"/>
            </a:solidFill>
            <a:effectLst/>
            <a:latin typeface="+mn-lt"/>
            <a:ea typeface="Times New Roman" panose="02020603050405020304" pitchFamily="18" charset="0"/>
          </a:endParaRPr>
        </a:p>
        <a:p>
          <a:pPr marL="6350" marR="1270" indent="-6350" algn="l">
            <a:lnSpc>
              <a:spcPct val="107000"/>
            </a:lnSpc>
            <a:spcAft>
              <a:spcPts val="0"/>
            </a:spcAft>
          </a:pPr>
          <a:r>
            <a:rPr lang="es-ES" sz="1100" b="1">
              <a:solidFill>
                <a:srgbClr val="000000"/>
              </a:solidFill>
              <a:effectLst/>
              <a:latin typeface="+mn-lt"/>
              <a:ea typeface="Times New Roman" panose="02020603050405020304" pitchFamily="18" charset="0"/>
            </a:rPr>
            <a:t>Tipos de coeficiente  </a:t>
          </a:r>
        </a:p>
        <a:p>
          <a:pPr marL="6350" marR="1270" indent="-6350" algn="just">
            <a:lnSpc>
              <a:spcPct val="106000"/>
            </a:lnSpc>
            <a:spcAft>
              <a:spcPts val="0"/>
            </a:spcAft>
          </a:pPr>
          <a:r>
            <a:rPr lang="es-ES" sz="1100">
              <a:solidFill>
                <a:srgbClr val="000000"/>
              </a:solidFill>
              <a:effectLst/>
              <a:latin typeface="+mn-lt"/>
              <a:ea typeface="Times New Roman" panose="02020603050405020304" pitchFamily="18" charset="0"/>
            </a:rPr>
            <a:t>El coeficiente puede clasificarse según el origen de la reducción: </a:t>
          </a:r>
        </a:p>
        <a:p>
          <a:pPr marL="342900" marR="1270" lvl="0" indent="-342900" algn="just" fontAlgn="base">
            <a:lnSpc>
              <a:spcPct val="106000"/>
            </a:lnSpc>
            <a:spcAft>
              <a:spcPts val="0"/>
            </a:spcAft>
            <a:buClr>
              <a:srgbClr val="000000"/>
            </a:buClr>
            <a:buSzPts val="1000"/>
            <a:buFont typeface="Arial" panose="020B0604020202020204" pitchFamily="34" charset="0"/>
            <a:buChar char="•"/>
          </a:pPr>
          <a:r>
            <a:rPr lang="es-ES" sz="1100" u="none" strike="noStrike">
              <a:solidFill>
                <a:srgbClr val="000000"/>
              </a:solidFill>
              <a:effectLst/>
              <a:uFill>
                <a:solidFill>
                  <a:srgbClr val="000000"/>
                </a:solidFill>
              </a:uFill>
              <a:latin typeface="+mn-lt"/>
              <a:ea typeface="Arial" panose="020B0604020202020204" pitchFamily="34" charset="0"/>
              <a:cs typeface="Arial" panose="020B0604020202020204" pitchFamily="34" charset="0"/>
            </a:rPr>
            <a:t>Por tiempo: Cuando existen periodos sin relación laboral o situaciones administrativas que limitan el cómputo (reservistas, suspensión de empleo y sueldo, días sin sueldo, asuntos propios). </a:t>
          </a:r>
        </a:p>
        <a:p>
          <a:pPr marL="342900" marR="1270" lvl="0" indent="-342900" algn="just" fontAlgn="base">
            <a:lnSpc>
              <a:spcPct val="106000"/>
            </a:lnSpc>
            <a:spcAft>
              <a:spcPts val="0"/>
            </a:spcAft>
            <a:buClr>
              <a:srgbClr val="000000"/>
            </a:buClr>
            <a:buSzPts val="1000"/>
            <a:buFont typeface="Arial" panose="020B0604020202020204" pitchFamily="34" charset="0"/>
            <a:buChar char="•"/>
          </a:pPr>
          <a:r>
            <a:rPr lang="es-ES" sz="1100" u="none" strike="noStrike">
              <a:solidFill>
                <a:srgbClr val="000000"/>
              </a:solidFill>
              <a:effectLst/>
              <a:uFill>
                <a:solidFill>
                  <a:srgbClr val="000000"/>
                </a:solidFill>
              </a:uFill>
              <a:latin typeface="+mn-lt"/>
              <a:ea typeface="Arial" panose="020B0604020202020204" pitchFamily="34" charset="0"/>
              <a:cs typeface="Arial" panose="020B0604020202020204" pitchFamily="34" charset="0"/>
            </a:rPr>
            <a:t>Por jornada: Cuando el empleado ha trabajado menos horas que las establecidas para su puesto (jornada parcial). </a:t>
          </a:r>
        </a:p>
        <a:p>
          <a:pPr marL="342900" marR="1270" lvl="0" indent="-342900" algn="just" fontAlgn="base">
            <a:lnSpc>
              <a:spcPct val="106000"/>
            </a:lnSpc>
            <a:spcAft>
              <a:spcPts val="0"/>
            </a:spcAft>
            <a:buClr>
              <a:srgbClr val="000000"/>
            </a:buClr>
            <a:buSzPts val="1000"/>
            <a:buFont typeface="Arial" panose="020B0604020202020204" pitchFamily="34" charset="0"/>
            <a:buChar char="•"/>
          </a:pPr>
          <a:r>
            <a:rPr lang="es-ES" sz="1100" u="none" strike="noStrike">
              <a:solidFill>
                <a:srgbClr val="000000"/>
              </a:solidFill>
              <a:effectLst/>
              <a:uFill>
                <a:solidFill>
                  <a:srgbClr val="000000"/>
                </a:solidFill>
              </a:uFill>
              <a:latin typeface="+mn-lt"/>
              <a:ea typeface="Arial" panose="020B0604020202020204" pitchFamily="34" charset="0"/>
              <a:cs typeface="Arial" panose="020B0604020202020204" pitchFamily="34" charset="0"/>
            </a:rPr>
            <a:t>Por tiempo/jornada: Cuando se combinan ambas circunstancias. </a:t>
          </a:r>
        </a:p>
        <a:p>
          <a:pPr marL="6350" marR="1270" indent="-6350" algn="l">
            <a:lnSpc>
              <a:spcPct val="107000"/>
            </a:lnSpc>
            <a:spcAft>
              <a:spcPts val="0"/>
            </a:spcAft>
          </a:pPr>
          <a:endParaRPr lang="es-ES" sz="1100">
            <a:solidFill>
              <a:srgbClr val="000000"/>
            </a:solidFill>
            <a:effectLst/>
            <a:latin typeface="+mn-lt"/>
            <a:ea typeface="Times New Roman" panose="02020603050405020304" pitchFamily="18" charset="0"/>
          </a:endParaRPr>
        </a:p>
        <a:p>
          <a:pPr marL="6350" marR="1270" indent="-6350" algn="l">
            <a:lnSpc>
              <a:spcPct val="107000"/>
            </a:lnSpc>
            <a:spcAft>
              <a:spcPts val="0"/>
            </a:spcAft>
          </a:pPr>
          <a:r>
            <a:rPr lang="es-ES" sz="1100" b="1">
              <a:solidFill>
                <a:srgbClr val="000000"/>
              </a:solidFill>
              <a:effectLst/>
              <a:latin typeface="+mn-lt"/>
              <a:ea typeface="Times New Roman" panose="02020603050405020304" pitchFamily="18" charset="0"/>
            </a:rPr>
            <a:t>Exenciones</a:t>
          </a:r>
          <a:r>
            <a:rPr lang="es-ES" sz="1100">
              <a:solidFill>
                <a:srgbClr val="000000"/>
              </a:solidFill>
              <a:effectLst/>
              <a:latin typeface="+mn-lt"/>
              <a:ea typeface="Times New Roman" panose="02020603050405020304" pitchFamily="18" charset="0"/>
            </a:rPr>
            <a:t>  </a:t>
          </a:r>
        </a:p>
        <a:p>
          <a:pPr marL="6350" marR="1270" indent="-6350" algn="just">
            <a:lnSpc>
              <a:spcPct val="106000"/>
            </a:lnSpc>
            <a:spcAft>
              <a:spcPts val="0"/>
            </a:spcAft>
          </a:pPr>
          <a:r>
            <a:rPr lang="es-ES" sz="1100">
              <a:solidFill>
                <a:srgbClr val="000000"/>
              </a:solidFill>
              <a:effectLst/>
              <a:latin typeface="+mn-lt"/>
              <a:ea typeface="Times New Roman" panose="02020603050405020304" pitchFamily="18" charset="0"/>
            </a:rPr>
            <a:t>No se penaliza el coeficiente en los siguientes casos: </a:t>
          </a:r>
        </a:p>
        <a:p>
          <a:pPr marL="342900" marR="1270" lvl="0" indent="-342900" algn="just" fontAlgn="base">
            <a:lnSpc>
              <a:spcPct val="106000"/>
            </a:lnSpc>
            <a:spcAft>
              <a:spcPts val="0"/>
            </a:spcAft>
            <a:buClr>
              <a:srgbClr val="000000"/>
            </a:buClr>
            <a:buSzPts val="1000"/>
            <a:buFont typeface="Arial" panose="020B0604020202020204" pitchFamily="34" charset="0"/>
            <a:buChar char="•"/>
          </a:pPr>
          <a:r>
            <a:rPr lang="es-ES" sz="1100" u="none" strike="noStrike">
              <a:solidFill>
                <a:srgbClr val="000000"/>
              </a:solidFill>
              <a:effectLst/>
              <a:uFill>
                <a:solidFill>
                  <a:srgbClr val="000000"/>
                </a:solidFill>
              </a:uFill>
              <a:latin typeface="+mn-lt"/>
              <a:ea typeface="Arial" panose="020B0604020202020204" pitchFamily="34" charset="0"/>
              <a:cs typeface="Arial" panose="020B0604020202020204" pitchFamily="34" charset="0"/>
            </a:rPr>
            <a:t>Reducciones de jornada por conciliación familiar </a:t>
          </a:r>
        </a:p>
        <a:p>
          <a:pPr marL="342900" marR="1270" lvl="0" indent="-342900" algn="just" fontAlgn="base">
            <a:lnSpc>
              <a:spcPct val="106000"/>
            </a:lnSpc>
            <a:spcAft>
              <a:spcPts val="0"/>
            </a:spcAft>
            <a:buClr>
              <a:srgbClr val="000000"/>
            </a:buClr>
            <a:buSzPts val="1000"/>
            <a:buFont typeface="Arial" panose="020B0604020202020204" pitchFamily="34" charset="0"/>
            <a:buChar char="•"/>
          </a:pPr>
          <a:r>
            <a:rPr lang="es-ES" sz="1100" u="none" strike="noStrike">
              <a:solidFill>
                <a:srgbClr val="000000"/>
              </a:solidFill>
              <a:effectLst/>
              <a:uFill>
                <a:solidFill>
                  <a:srgbClr val="000000"/>
                </a:solidFill>
              </a:uFill>
              <a:latin typeface="+mn-lt"/>
              <a:ea typeface="Arial" panose="020B0604020202020204" pitchFamily="34" charset="0"/>
              <a:cs typeface="Arial" panose="020B0604020202020204" pitchFamily="34" charset="0"/>
            </a:rPr>
            <a:t>Incapacidad temporal con pago directo por el INSS, siempre que exista reincorporación efectiva al puesto de trabajo </a:t>
          </a:r>
        </a:p>
        <a:p>
          <a:pPr marL="6350" marR="1270" indent="-6350" algn="just">
            <a:lnSpc>
              <a:spcPct val="106000"/>
            </a:lnSpc>
            <a:spcAft>
              <a:spcPts val="0"/>
            </a:spcAft>
          </a:pPr>
          <a:r>
            <a:rPr lang="es-ES" sz="1100">
              <a:solidFill>
                <a:srgbClr val="000000"/>
              </a:solidFill>
              <a:effectLst/>
              <a:latin typeface="+mn-lt"/>
              <a:ea typeface="Times New Roman" panose="02020603050405020304" pitchFamily="18" charset="0"/>
            </a:rPr>
            <a:t>Estas situaciones se consideran computables a efectos del programa y no afectan negativamente al cálculo del coeficiente. </a:t>
          </a:r>
        </a:p>
        <a:p>
          <a:pPr marL="6350" indent="-6350" algn="just">
            <a:lnSpc>
              <a:spcPct val="106000"/>
            </a:lnSpc>
            <a:spcAft>
              <a:spcPts val="0"/>
            </a:spcAft>
          </a:pPr>
          <a:endParaRPr lang="es-ES" sz="1100">
            <a:solidFill>
              <a:srgbClr val="000000"/>
            </a:solidFill>
            <a:effectLst/>
            <a:latin typeface="+mn-lt"/>
            <a:ea typeface="Times New Roman" panose="02020603050405020304" pitchFamily="18"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19050</xdr:colOff>
      <xdr:row>0</xdr:row>
      <xdr:rowOff>161925</xdr:rowOff>
    </xdr:from>
    <xdr:to>
      <xdr:col>11</xdr:col>
      <xdr:colOff>648003</xdr:colOff>
      <xdr:row>37</xdr:row>
      <xdr:rowOff>119600</xdr:rowOff>
    </xdr:to>
    <xdr:sp macro="" textlink="">
      <xdr:nvSpPr>
        <xdr:cNvPr id="2" name="CuadroTexto 1">
          <a:extLst>
            <a:ext uri="{FF2B5EF4-FFF2-40B4-BE49-F238E27FC236}">
              <a16:creationId xmlns:a16="http://schemas.microsoft.com/office/drawing/2014/main" id="{00000000-0008-0000-0400-000002000000}"/>
            </a:ext>
          </a:extLst>
        </xdr:cNvPr>
        <xdr:cNvSpPr txBox="1"/>
      </xdr:nvSpPr>
      <xdr:spPr>
        <a:xfrm>
          <a:off x="19050" y="161925"/>
          <a:ext cx="9010953" cy="7006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6350" indent="-6350" algn="just">
            <a:lnSpc>
              <a:spcPct val="106000"/>
            </a:lnSpc>
            <a:spcAft>
              <a:spcPts val="0"/>
            </a:spcAft>
          </a:pPr>
          <a:r>
            <a:rPr lang="es-ES" sz="1100" b="1">
              <a:solidFill>
                <a:srgbClr val="000000"/>
              </a:solidFill>
              <a:effectLst/>
              <a:latin typeface="+mn-lt"/>
              <a:ea typeface="Calibri" panose="020F0502020204030204" pitchFamily="34" charset="0"/>
            </a:rPr>
            <a:t>¿</a:t>
          </a:r>
          <a:r>
            <a:rPr lang="es-ES" sz="1100" b="1">
              <a:solidFill>
                <a:srgbClr val="000000"/>
              </a:solidFill>
              <a:effectLst/>
              <a:latin typeface="+mn-lt"/>
              <a:ea typeface="Times New Roman" panose="02020603050405020304" pitchFamily="18" charset="0"/>
            </a:rPr>
            <a:t>QU</a:t>
          </a:r>
          <a:r>
            <a:rPr lang="es-ES" sz="1100" b="1">
              <a:solidFill>
                <a:srgbClr val="000000"/>
              </a:solidFill>
              <a:effectLst/>
              <a:latin typeface="+mn-lt"/>
              <a:ea typeface="Calibri" panose="020F0502020204030204" pitchFamily="34" charset="0"/>
            </a:rPr>
            <a:t>É</a:t>
          </a:r>
          <a:r>
            <a:rPr lang="es-ES" sz="1100" b="1">
              <a:solidFill>
                <a:srgbClr val="000000"/>
              </a:solidFill>
              <a:effectLst/>
              <a:latin typeface="+mn-lt"/>
              <a:ea typeface="Times New Roman" panose="02020603050405020304" pitchFamily="18" charset="0"/>
            </a:rPr>
            <a:t> SON LAS BOLSAS</a:t>
          </a:r>
          <a:r>
            <a:rPr lang="es-ES" sz="1100" b="1">
              <a:solidFill>
                <a:srgbClr val="000000"/>
              </a:solidFill>
              <a:effectLst/>
              <a:latin typeface="+mn-lt"/>
              <a:ea typeface="Calibri" panose="020F0502020204030204" pitchFamily="34" charset="0"/>
            </a:rPr>
            <a:t>?</a:t>
          </a:r>
          <a:r>
            <a:rPr lang="es-ES" sz="1100" b="1">
              <a:solidFill>
                <a:srgbClr val="000000"/>
              </a:solidFill>
              <a:effectLst/>
              <a:latin typeface="+mn-lt"/>
              <a:ea typeface="Times New Roman" panose="02020603050405020304" pitchFamily="18" charset="0"/>
            </a:rPr>
            <a:t> </a:t>
          </a:r>
        </a:p>
        <a:p>
          <a:pPr marL="6350" indent="-6350" algn="just">
            <a:lnSpc>
              <a:spcPct val="106000"/>
            </a:lnSpc>
            <a:spcAft>
              <a:spcPts val="0"/>
            </a:spcAft>
          </a:pPr>
          <a:r>
            <a:rPr lang="es-ES" sz="1100">
              <a:solidFill>
                <a:srgbClr val="000000"/>
              </a:solidFill>
              <a:effectLst/>
              <a:latin typeface="+mn-lt"/>
              <a:ea typeface="Times New Roman" panose="02020603050405020304" pitchFamily="18" charset="0"/>
            </a:rPr>
            <a:t>No todos los empleados tienen el mismo tiempo de prestación de servicios ni la misma jornada laboral durante el año, lo que naturalmente genera diferencias en el cálculo de las cuantías individuales. Para evitar que el importe no asignado quede sin distribuir, se crean las bolsas como fondo común que permite reaprovechar ese excedente.  Por ejemplo, un empleado que ha trabajado todo el año a jornada completa tendrá un coeficiente único igual a 1, lo que significa que no genera excedente: se le asigna la cuantía completa que le corresponde. En cambio, si otro empleado ha trabajado solo seis meses o ha tenido una jornada reducida, su coeficiente será menor que 1, y el importe no asignado por esa diferencia se redistribuye a través de las bolsas. </a:t>
          </a:r>
        </a:p>
        <a:p>
          <a:pPr marL="6350" indent="-6350" algn="just">
            <a:lnSpc>
              <a:spcPct val="106000"/>
            </a:lnSpc>
            <a:spcAft>
              <a:spcPts val="0"/>
            </a:spcAft>
          </a:pPr>
          <a:r>
            <a:rPr lang="es-ES" sz="1100">
              <a:solidFill>
                <a:srgbClr val="000000"/>
              </a:solidFill>
              <a:effectLst/>
              <a:latin typeface="+mn-lt"/>
              <a:ea typeface="Times New Roman" panose="02020603050405020304" pitchFamily="18" charset="0"/>
            </a:rPr>
            <a:t>Este excedente puede surgir por varias razones: </a:t>
          </a:r>
        </a:p>
        <a:p>
          <a:pPr marL="342900" lvl="0" indent="-342900" algn="just" fontAlgn="base">
            <a:lnSpc>
              <a:spcPct val="106000"/>
            </a:lnSpc>
            <a:spcAft>
              <a:spcPts val="0"/>
            </a:spcAft>
            <a:buClr>
              <a:srgbClr val="000000"/>
            </a:buClr>
            <a:buSzPts val="1000"/>
            <a:buFont typeface="Arial" panose="020B0604020202020204" pitchFamily="34" charset="0"/>
            <a:buChar char="•"/>
          </a:pPr>
          <a:r>
            <a:rPr lang="es-ES" sz="1100" u="none" strike="noStrike">
              <a:solidFill>
                <a:srgbClr val="000000"/>
              </a:solidFill>
              <a:effectLst/>
              <a:uFill>
                <a:solidFill>
                  <a:srgbClr val="000000"/>
                </a:solidFill>
              </a:uFill>
              <a:latin typeface="+mn-lt"/>
              <a:ea typeface="Arial" panose="020B0604020202020204" pitchFamily="34" charset="0"/>
              <a:cs typeface="Arial" panose="020B0604020202020204" pitchFamily="34" charset="0"/>
            </a:rPr>
            <a:t>Finalización de contrato/nombramiento </a:t>
          </a:r>
        </a:p>
        <a:p>
          <a:pPr marL="342900" lvl="0" indent="-342900" algn="just" fontAlgn="base">
            <a:lnSpc>
              <a:spcPct val="106000"/>
            </a:lnSpc>
            <a:spcAft>
              <a:spcPts val="0"/>
            </a:spcAft>
            <a:buClr>
              <a:srgbClr val="000000"/>
            </a:buClr>
            <a:buSzPts val="1000"/>
            <a:buFont typeface="Arial" panose="020B0604020202020204" pitchFamily="34" charset="0"/>
            <a:buChar char="•"/>
          </a:pPr>
          <a:r>
            <a:rPr lang="es-ES" sz="1100" u="none" strike="noStrike">
              <a:solidFill>
                <a:srgbClr val="000000"/>
              </a:solidFill>
              <a:effectLst/>
              <a:uFill>
                <a:solidFill>
                  <a:srgbClr val="000000"/>
                </a:solidFill>
              </a:uFill>
              <a:latin typeface="+mn-lt"/>
              <a:ea typeface="Arial" panose="020B0604020202020204" pitchFamily="34" charset="0"/>
              <a:cs typeface="Arial" panose="020B0604020202020204" pitchFamily="34" charset="0"/>
            </a:rPr>
            <a:t>Jubilación Total o Parcial </a:t>
          </a:r>
        </a:p>
        <a:p>
          <a:pPr marL="342900" lvl="0" indent="-342900" algn="just" fontAlgn="base">
            <a:lnSpc>
              <a:spcPct val="106000"/>
            </a:lnSpc>
            <a:spcAft>
              <a:spcPts val="0"/>
            </a:spcAft>
            <a:buClr>
              <a:srgbClr val="000000"/>
            </a:buClr>
            <a:buSzPts val="1000"/>
            <a:buFont typeface="Arial" panose="020B0604020202020204" pitchFamily="34" charset="0"/>
            <a:buChar char="•"/>
          </a:pPr>
          <a:r>
            <a:rPr lang="es-ES" sz="1100" u="none" strike="noStrike">
              <a:solidFill>
                <a:srgbClr val="000000"/>
              </a:solidFill>
              <a:effectLst/>
              <a:uFill>
                <a:solidFill>
                  <a:srgbClr val="000000"/>
                </a:solidFill>
              </a:uFill>
              <a:latin typeface="+mn-lt"/>
              <a:ea typeface="Arial" panose="020B0604020202020204" pitchFamily="34" charset="0"/>
              <a:cs typeface="Arial" panose="020B0604020202020204" pitchFamily="34" charset="0"/>
            </a:rPr>
            <a:t>Reducción voluntaria de jornada </a:t>
          </a:r>
        </a:p>
        <a:p>
          <a:pPr marL="342900" lvl="0" indent="-342900" algn="just" fontAlgn="base">
            <a:lnSpc>
              <a:spcPct val="106000"/>
            </a:lnSpc>
            <a:spcAft>
              <a:spcPts val="0"/>
            </a:spcAft>
            <a:buClr>
              <a:srgbClr val="000000"/>
            </a:buClr>
            <a:buSzPts val="1000"/>
            <a:buFont typeface="Arial" panose="020B0604020202020204" pitchFamily="34" charset="0"/>
            <a:buChar char="•"/>
          </a:pPr>
          <a:r>
            <a:rPr lang="es-ES" sz="1100" u="none" strike="noStrike">
              <a:solidFill>
                <a:srgbClr val="000000"/>
              </a:solidFill>
              <a:effectLst/>
              <a:uFill>
                <a:solidFill>
                  <a:srgbClr val="000000"/>
                </a:solidFill>
              </a:uFill>
              <a:latin typeface="+mn-lt"/>
              <a:ea typeface="Arial" panose="020B0604020202020204" pitchFamily="34" charset="0"/>
              <a:cs typeface="Arial" panose="020B0604020202020204" pitchFamily="34" charset="0"/>
            </a:rPr>
            <a:t>Situaciones administrativas que afectan el cómputo, entre otras. </a:t>
          </a:r>
        </a:p>
        <a:p>
          <a:pPr marL="6350" indent="-6350" algn="just">
            <a:lnSpc>
              <a:spcPct val="106000"/>
            </a:lnSpc>
            <a:spcAft>
              <a:spcPts val="0"/>
            </a:spcAft>
          </a:pPr>
          <a:endParaRPr lang="es-ES" sz="1100">
            <a:solidFill>
              <a:srgbClr val="000000"/>
            </a:solidFill>
            <a:effectLst/>
            <a:latin typeface="+mn-lt"/>
            <a:ea typeface="Times New Roman" panose="02020603050405020304" pitchFamily="18" charset="0"/>
          </a:endParaRPr>
        </a:p>
        <a:p>
          <a:pPr marL="6350" indent="-6350" algn="just">
            <a:lnSpc>
              <a:spcPct val="106000"/>
            </a:lnSpc>
            <a:spcAft>
              <a:spcPts val="0"/>
            </a:spcAft>
          </a:pPr>
          <a:r>
            <a:rPr lang="es-ES" sz="1100">
              <a:solidFill>
                <a:srgbClr val="000000"/>
              </a:solidFill>
              <a:effectLst/>
              <a:latin typeface="+mn-lt"/>
              <a:ea typeface="Times New Roman" panose="02020603050405020304" pitchFamily="18" charset="0"/>
            </a:rPr>
            <a:t>Dependiendo del tipo de situación, ese importe no asignado se redistribuye en una de dos vías: </a:t>
          </a:r>
        </a:p>
        <a:p>
          <a:pPr marL="342900" lvl="0" indent="-342900" algn="just" fontAlgn="base">
            <a:lnSpc>
              <a:spcPct val="106000"/>
            </a:lnSpc>
            <a:spcAft>
              <a:spcPts val="0"/>
            </a:spcAft>
            <a:buClr>
              <a:srgbClr val="000000"/>
            </a:buClr>
            <a:buSzPts val="1000"/>
            <a:buFont typeface="Arial" panose="020B0604020202020204" pitchFamily="34" charset="0"/>
            <a:buChar char="•"/>
          </a:pPr>
          <a:r>
            <a:rPr lang="es-ES" sz="1100" b="1" u="none" strike="noStrike">
              <a:solidFill>
                <a:srgbClr val="000000"/>
              </a:solidFill>
              <a:effectLst/>
              <a:uFill>
                <a:solidFill>
                  <a:srgbClr val="000000"/>
                </a:solidFill>
              </a:uFill>
              <a:latin typeface="+mn-lt"/>
              <a:ea typeface="Arial" panose="020B0604020202020204" pitchFamily="34" charset="0"/>
              <a:cs typeface="Arial" panose="020B0604020202020204" pitchFamily="34" charset="0"/>
            </a:rPr>
            <a:t>Bolsa general del Ayuntamiento </a:t>
          </a:r>
          <a:endParaRPr lang="es-ES" sz="1100" u="none" strike="noStrike">
            <a:solidFill>
              <a:srgbClr val="000000"/>
            </a:solidFill>
            <a:effectLst/>
            <a:uFill>
              <a:solidFill>
                <a:srgbClr val="000000"/>
              </a:solidFill>
            </a:uFill>
            <a:latin typeface="+mn-lt"/>
            <a:ea typeface="Arial" panose="020B0604020202020204" pitchFamily="34" charset="0"/>
            <a:cs typeface="Arial" panose="020B0604020202020204" pitchFamily="34" charset="0"/>
          </a:endParaRPr>
        </a:p>
        <a:p>
          <a:pPr marL="342900" lvl="0" indent="-342900" algn="just" fontAlgn="base">
            <a:lnSpc>
              <a:spcPct val="106000"/>
            </a:lnSpc>
            <a:spcAft>
              <a:spcPts val="0"/>
            </a:spcAft>
            <a:buClr>
              <a:srgbClr val="000000"/>
            </a:buClr>
            <a:buSzPts val="1000"/>
            <a:buFont typeface="Arial" panose="020B0604020202020204" pitchFamily="34" charset="0"/>
            <a:buChar char="•"/>
          </a:pPr>
          <a:r>
            <a:rPr lang="es-ES" sz="1100" b="1" u="none" strike="noStrike">
              <a:solidFill>
                <a:srgbClr val="000000"/>
              </a:solidFill>
              <a:effectLst/>
              <a:uFill>
                <a:solidFill>
                  <a:srgbClr val="000000"/>
                </a:solidFill>
              </a:uFill>
              <a:latin typeface="+mn-lt"/>
              <a:ea typeface="Arial" panose="020B0604020202020204" pitchFamily="34" charset="0"/>
              <a:cs typeface="Arial" panose="020B0604020202020204" pitchFamily="34" charset="0"/>
            </a:rPr>
            <a:t>Bolsa del programa  </a:t>
          </a:r>
          <a:endParaRPr lang="es-ES" sz="1100" u="none" strike="noStrike">
            <a:solidFill>
              <a:srgbClr val="000000"/>
            </a:solidFill>
            <a:effectLst/>
            <a:uFill>
              <a:solidFill>
                <a:srgbClr val="000000"/>
              </a:solidFill>
            </a:uFill>
            <a:latin typeface="+mn-lt"/>
            <a:ea typeface="Arial" panose="020B0604020202020204" pitchFamily="34" charset="0"/>
            <a:cs typeface="Arial" panose="020B0604020202020204" pitchFamily="34" charset="0"/>
          </a:endParaRPr>
        </a:p>
        <a:p>
          <a:pPr marL="6350" indent="-6350" algn="just">
            <a:lnSpc>
              <a:spcPct val="106000"/>
            </a:lnSpc>
            <a:spcBef>
              <a:spcPts val="1200"/>
            </a:spcBef>
            <a:spcAft>
              <a:spcPts val="0"/>
            </a:spcAft>
          </a:pPr>
          <a:r>
            <a:rPr lang="es-ES" sz="1100" b="1" kern="0">
              <a:solidFill>
                <a:srgbClr val="0070C0"/>
              </a:solidFill>
              <a:effectLst/>
              <a:latin typeface="+mn-lt"/>
              <a:ea typeface="Times New Roman" panose="02020603050405020304" pitchFamily="18" charset="0"/>
              <a:cs typeface="Calibri Light" panose="020F0302020204030204" pitchFamily="34" charset="0"/>
            </a:rPr>
            <a:t>Bolsa general del Ayuntamiento  </a:t>
          </a:r>
          <a:endParaRPr lang="es-ES" sz="1600" b="1" kern="0">
            <a:solidFill>
              <a:srgbClr val="2E74B5"/>
            </a:solidFill>
            <a:effectLst/>
            <a:latin typeface="+mn-lt"/>
            <a:ea typeface="Times New Roman" panose="02020603050405020304" pitchFamily="18" charset="0"/>
            <a:cs typeface="Times New Roman" panose="02020603050405020304" pitchFamily="18" charset="0"/>
          </a:endParaRPr>
        </a:p>
        <a:p>
          <a:pPr marL="6350" indent="-6350" algn="just">
            <a:lnSpc>
              <a:spcPct val="106000"/>
            </a:lnSpc>
            <a:spcAft>
              <a:spcPts val="0"/>
            </a:spcAft>
          </a:pPr>
          <a:r>
            <a:rPr lang="es-ES" sz="1100">
              <a:solidFill>
                <a:srgbClr val="000000"/>
              </a:solidFill>
              <a:effectLst/>
              <a:latin typeface="+mn-lt"/>
              <a:ea typeface="Times New Roman" panose="02020603050405020304" pitchFamily="18" charset="0"/>
            </a:rPr>
            <a:t>La bolsa general recoge el importe no asignado a empleados que no han mantenido una relación laboral completa con el Ayuntamiento durante el año. </a:t>
          </a:r>
        </a:p>
        <a:p>
          <a:pPr marL="6350" indent="-6350" algn="just">
            <a:lnSpc>
              <a:spcPct val="106000"/>
            </a:lnSpc>
            <a:spcAft>
              <a:spcPts val="0"/>
            </a:spcAft>
          </a:pPr>
          <a:r>
            <a:rPr lang="es-ES" sz="1100">
              <a:solidFill>
                <a:srgbClr val="000000"/>
              </a:solidFill>
              <a:effectLst/>
              <a:latin typeface="+mn-lt"/>
              <a:ea typeface="Times New Roman" panose="02020603050405020304" pitchFamily="18" charset="0"/>
            </a:rPr>
            <a:t>Esto incluye: </a:t>
          </a:r>
        </a:p>
        <a:p>
          <a:pPr marL="342900" lvl="0" indent="-342900" algn="just" fontAlgn="base">
            <a:lnSpc>
              <a:spcPct val="106000"/>
            </a:lnSpc>
            <a:spcAft>
              <a:spcPts val="0"/>
            </a:spcAft>
            <a:buClr>
              <a:srgbClr val="000000"/>
            </a:buClr>
            <a:buSzPts val="1000"/>
            <a:buFont typeface="Arial" panose="020B0604020202020204" pitchFamily="34" charset="0"/>
            <a:buChar char="•"/>
          </a:pPr>
          <a:r>
            <a:rPr lang="es-ES" sz="1100" u="none" strike="noStrike">
              <a:solidFill>
                <a:srgbClr val="000000"/>
              </a:solidFill>
              <a:effectLst/>
              <a:uFill>
                <a:solidFill>
                  <a:srgbClr val="000000"/>
                </a:solidFill>
              </a:uFill>
              <a:latin typeface="+mn-lt"/>
              <a:ea typeface="Arial" panose="020B0604020202020204" pitchFamily="34" charset="0"/>
              <a:cs typeface="Arial" panose="020B0604020202020204" pitchFamily="34" charset="0"/>
            </a:rPr>
            <a:t>Finalización de contrato/nombramiento </a:t>
          </a:r>
        </a:p>
        <a:p>
          <a:pPr marL="342900" lvl="0" indent="-342900" algn="just" fontAlgn="base">
            <a:lnSpc>
              <a:spcPct val="106000"/>
            </a:lnSpc>
            <a:spcAft>
              <a:spcPts val="0"/>
            </a:spcAft>
            <a:buClr>
              <a:srgbClr val="000000"/>
            </a:buClr>
            <a:buSzPts val="1000"/>
            <a:buFont typeface="Arial" panose="020B0604020202020204" pitchFamily="34" charset="0"/>
            <a:buChar char="•"/>
          </a:pPr>
          <a:r>
            <a:rPr lang="es-ES" sz="1100" u="none" strike="noStrike">
              <a:solidFill>
                <a:srgbClr val="000000"/>
              </a:solidFill>
              <a:effectLst/>
              <a:uFill>
                <a:solidFill>
                  <a:srgbClr val="000000"/>
                </a:solidFill>
              </a:uFill>
              <a:latin typeface="+mn-lt"/>
              <a:ea typeface="Arial" panose="020B0604020202020204" pitchFamily="34" charset="0"/>
              <a:cs typeface="Arial" panose="020B0604020202020204" pitchFamily="34" charset="0"/>
            </a:rPr>
            <a:t>Jubilación total </a:t>
          </a:r>
        </a:p>
        <a:p>
          <a:pPr marL="342900" lvl="0" indent="-342900" algn="just" fontAlgn="base">
            <a:lnSpc>
              <a:spcPct val="106000"/>
            </a:lnSpc>
            <a:spcAft>
              <a:spcPts val="0"/>
            </a:spcAft>
            <a:buClr>
              <a:srgbClr val="000000"/>
            </a:buClr>
            <a:buSzPts val="1000"/>
            <a:buFont typeface="Arial" panose="020B0604020202020204" pitchFamily="34" charset="0"/>
            <a:buChar char="•"/>
          </a:pPr>
          <a:r>
            <a:rPr lang="es-ES" sz="1100" u="none" strike="noStrike">
              <a:solidFill>
                <a:srgbClr val="000000"/>
              </a:solidFill>
              <a:effectLst/>
              <a:uFill>
                <a:solidFill>
                  <a:srgbClr val="000000"/>
                </a:solidFill>
              </a:uFill>
              <a:latin typeface="+mn-lt"/>
              <a:ea typeface="Arial" panose="020B0604020202020204" pitchFamily="34" charset="0"/>
              <a:cs typeface="Arial" panose="020B0604020202020204" pitchFamily="34" charset="0"/>
            </a:rPr>
            <a:t>Jornada parcial que nace de la relación contractual.  </a:t>
          </a:r>
        </a:p>
        <a:p>
          <a:pPr marL="6350" indent="-6350" algn="just">
            <a:lnSpc>
              <a:spcPct val="106000"/>
            </a:lnSpc>
            <a:spcBef>
              <a:spcPts val="1200"/>
            </a:spcBef>
            <a:spcAft>
              <a:spcPts val="0"/>
            </a:spcAft>
          </a:pPr>
          <a:r>
            <a:rPr lang="es-ES" sz="1100" b="1" kern="0">
              <a:solidFill>
                <a:srgbClr val="0070C0"/>
              </a:solidFill>
              <a:effectLst/>
              <a:latin typeface="+mn-lt"/>
              <a:ea typeface="Times New Roman" panose="02020603050405020304" pitchFamily="18" charset="0"/>
              <a:cs typeface="Calibri Light" panose="020F0302020204030204" pitchFamily="34" charset="0"/>
            </a:rPr>
            <a:t>Bolsa del programa  </a:t>
          </a:r>
          <a:endParaRPr lang="es-ES" sz="1600" b="1" kern="0">
            <a:solidFill>
              <a:srgbClr val="2E74B5"/>
            </a:solidFill>
            <a:effectLst/>
            <a:latin typeface="+mn-lt"/>
            <a:ea typeface="Times New Roman" panose="02020603050405020304" pitchFamily="18" charset="0"/>
            <a:cs typeface="Times New Roman" panose="02020603050405020304" pitchFamily="18" charset="0"/>
          </a:endParaRPr>
        </a:p>
        <a:p>
          <a:pPr marL="6350" indent="-6350" algn="just">
            <a:lnSpc>
              <a:spcPct val="106000"/>
            </a:lnSpc>
            <a:spcAft>
              <a:spcPts val="0"/>
            </a:spcAft>
          </a:pPr>
          <a:r>
            <a:rPr lang="es-ES" sz="1100">
              <a:solidFill>
                <a:srgbClr val="000000"/>
              </a:solidFill>
              <a:effectLst/>
              <a:latin typeface="+mn-lt"/>
              <a:ea typeface="Times New Roman" panose="02020603050405020304" pitchFamily="18" charset="0"/>
            </a:rPr>
            <a:t>Estas situaciones incluyen: </a:t>
          </a:r>
        </a:p>
        <a:p>
          <a:pPr marL="342900" lvl="0" indent="-342900" algn="just" fontAlgn="base">
            <a:lnSpc>
              <a:spcPct val="106000"/>
            </a:lnSpc>
            <a:spcAft>
              <a:spcPts val="0"/>
            </a:spcAft>
            <a:buClr>
              <a:srgbClr val="000000"/>
            </a:buClr>
            <a:buSzPts val="1000"/>
            <a:buFont typeface="Arial" panose="020B0604020202020204" pitchFamily="34" charset="0"/>
            <a:buChar char="•"/>
          </a:pPr>
          <a:r>
            <a:rPr lang="es-ES" sz="1100" u="none" strike="noStrike">
              <a:solidFill>
                <a:srgbClr val="000000"/>
              </a:solidFill>
              <a:effectLst/>
              <a:uFill>
                <a:solidFill>
                  <a:srgbClr val="000000"/>
                </a:solidFill>
              </a:uFill>
              <a:latin typeface="+mn-lt"/>
              <a:ea typeface="Arial" panose="020B0604020202020204" pitchFamily="34" charset="0"/>
              <a:cs typeface="Arial" panose="020B0604020202020204" pitchFamily="34" charset="0"/>
            </a:rPr>
            <a:t>Suspensión de empleo y sueldo por expediente disciplinario </a:t>
          </a:r>
        </a:p>
        <a:p>
          <a:pPr marL="342900" lvl="0" indent="-342900" algn="just" fontAlgn="base">
            <a:lnSpc>
              <a:spcPct val="106000"/>
            </a:lnSpc>
            <a:spcAft>
              <a:spcPts val="0"/>
            </a:spcAft>
            <a:buClr>
              <a:srgbClr val="000000"/>
            </a:buClr>
            <a:buSzPts val="1000"/>
            <a:buFont typeface="Arial" panose="020B0604020202020204" pitchFamily="34" charset="0"/>
            <a:buChar char="•"/>
          </a:pPr>
          <a:r>
            <a:rPr lang="es-ES" sz="1100" u="none" strike="noStrike">
              <a:solidFill>
                <a:srgbClr val="000000"/>
              </a:solidFill>
              <a:effectLst/>
              <a:uFill>
                <a:solidFill>
                  <a:srgbClr val="000000"/>
                </a:solidFill>
              </a:uFill>
              <a:latin typeface="+mn-lt"/>
              <a:ea typeface="Arial" panose="020B0604020202020204" pitchFamily="34" charset="0"/>
              <a:cs typeface="Arial" panose="020B0604020202020204" pitchFamily="34" charset="0"/>
            </a:rPr>
            <a:t>Días sin sueldo/Permisos por asuntos propios </a:t>
          </a:r>
        </a:p>
        <a:p>
          <a:pPr marL="342900" lvl="0" indent="-342900" algn="just" fontAlgn="base">
            <a:lnSpc>
              <a:spcPct val="106000"/>
            </a:lnSpc>
            <a:spcAft>
              <a:spcPts val="0"/>
            </a:spcAft>
            <a:buClr>
              <a:srgbClr val="000000"/>
            </a:buClr>
            <a:buSzPts val="1000"/>
            <a:buFont typeface="Arial" panose="020B0604020202020204" pitchFamily="34" charset="0"/>
            <a:buChar char="•"/>
          </a:pPr>
          <a:r>
            <a:rPr lang="es-ES" sz="1100" u="none" strike="noStrike">
              <a:solidFill>
                <a:srgbClr val="000000"/>
              </a:solidFill>
              <a:effectLst/>
              <a:uFill>
                <a:solidFill>
                  <a:srgbClr val="000000"/>
                </a:solidFill>
              </a:uFill>
              <a:latin typeface="+mn-lt"/>
              <a:ea typeface="Arial" panose="020B0604020202020204" pitchFamily="34" charset="0"/>
              <a:cs typeface="Arial" panose="020B0604020202020204" pitchFamily="34" charset="0"/>
            </a:rPr>
            <a:t>Tiempo como reservista </a:t>
          </a:r>
        </a:p>
        <a:p>
          <a:pPr marL="342900" lvl="0" indent="-342900" algn="just" fontAlgn="base">
            <a:lnSpc>
              <a:spcPct val="106000"/>
            </a:lnSpc>
            <a:spcAft>
              <a:spcPts val="0"/>
            </a:spcAft>
            <a:buClr>
              <a:srgbClr val="000000"/>
            </a:buClr>
            <a:buSzPts val="1000"/>
            <a:buFont typeface="Arial" panose="020B0604020202020204" pitchFamily="34" charset="0"/>
            <a:buChar char="•"/>
          </a:pPr>
          <a:r>
            <a:rPr lang="es-ES" sz="1100" u="none" strike="noStrike">
              <a:solidFill>
                <a:srgbClr val="000000"/>
              </a:solidFill>
              <a:effectLst/>
              <a:uFill>
                <a:solidFill>
                  <a:srgbClr val="000000"/>
                </a:solidFill>
              </a:uFill>
              <a:latin typeface="+mn-lt"/>
              <a:ea typeface="Arial" panose="020B0604020202020204" pitchFamily="34" charset="0"/>
              <a:cs typeface="Arial" panose="020B0604020202020204" pitchFamily="34" charset="0"/>
            </a:rPr>
            <a:t>Jubilación Parcial </a:t>
          </a:r>
        </a:p>
        <a:p>
          <a:pPr marL="6350" indent="-6350" algn="just">
            <a:lnSpc>
              <a:spcPct val="106000"/>
            </a:lnSpc>
            <a:spcAft>
              <a:spcPts val="0"/>
            </a:spcAft>
          </a:pPr>
          <a:r>
            <a:rPr lang="es-ES" sz="1100">
              <a:solidFill>
                <a:srgbClr val="000000"/>
              </a:solidFill>
              <a:effectLst/>
              <a:latin typeface="+mn-lt"/>
              <a:ea typeface="Times New Roman" panose="02020603050405020304" pitchFamily="18" charset="0"/>
            </a:rPr>
            <a:t>En estos casos, el importe no asignado no se transfiere a la bolsa general, sino que se redistribuye entre los compañeros del mismo programa, aumentando su cuantía individual. </a:t>
          </a:r>
        </a:p>
        <a:p>
          <a:pPr marL="6350" indent="-6350" algn="just">
            <a:lnSpc>
              <a:spcPct val="106000"/>
            </a:lnSpc>
            <a:spcAft>
              <a:spcPts val="0"/>
            </a:spcAft>
          </a:pPr>
          <a:endParaRPr lang="es-ES" sz="1100">
            <a:solidFill>
              <a:srgbClr val="000000"/>
            </a:solidFill>
            <a:effectLst/>
            <a:latin typeface="+mn-lt"/>
            <a:ea typeface="Times New Roman" panose="02020603050405020304" pitchFamily="18" charset="0"/>
          </a:endParaRPr>
        </a:p>
        <a:p>
          <a:pPr marL="6350" indent="-6350" algn="just">
            <a:lnSpc>
              <a:spcPct val="106000"/>
            </a:lnSpc>
            <a:spcAft>
              <a:spcPts val="0"/>
            </a:spcAft>
          </a:pPr>
          <a:r>
            <a:rPr lang="es-ES" sz="1100">
              <a:solidFill>
                <a:srgbClr val="000000"/>
              </a:solidFill>
              <a:effectLst/>
              <a:latin typeface="+mn-lt"/>
              <a:ea typeface="Times New Roman" panose="02020603050405020304" pitchFamily="18" charset="0"/>
            </a:rPr>
            <a:t>Situaciones exentas que mantienen coeficiente 1 y no generan excedente para el reparto en bolsa </a:t>
          </a:r>
        </a:p>
        <a:p>
          <a:pPr marL="342900" lvl="0" indent="-342900" algn="just" fontAlgn="base">
            <a:lnSpc>
              <a:spcPct val="106000"/>
            </a:lnSpc>
            <a:spcAft>
              <a:spcPts val="0"/>
            </a:spcAft>
            <a:buClr>
              <a:srgbClr val="000000"/>
            </a:buClr>
            <a:buSzPts val="1000"/>
            <a:buFont typeface="Arial" panose="020B0604020202020204" pitchFamily="34" charset="0"/>
            <a:buChar char="•"/>
          </a:pPr>
          <a:r>
            <a:rPr lang="es-ES" sz="1100" u="none" strike="noStrike">
              <a:solidFill>
                <a:srgbClr val="000000"/>
              </a:solidFill>
              <a:effectLst/>
              <a:uFill>
                <a:solidFill>
                  <a:srgbClr val="000000"/>
                </a:solidFill>
              </a:uFill>
              <a:latin typeface="+mn-lt"/>
              <a:ea typeface="Arial" panose="020B0604020202020204" pitchFamily="34" charset="0"/>
              <a:cs typeface="Arial" panose="020B0604020202020204" pitchFamily="34" charset="0"/>
            </a:rPr>
            <a:t>Reducción de jornada por conciliación familiar </a:t>
          </a:r>
        </a:p>
        <a:p>
          <a:pPr marL="342900" lvl="0" indent="-342900" algn="just" fontAlgn="base">
            <a:lnSpc>
              <a:spcPct val="106000"/>
            </a:lnSpc>
            <a:spcAft>
              <a:spcPts val="0"/>
            </a:spcAft>
            <a:buClr>
              <a:srgbClr val="000000"/>
            </a:buClr>
            <a:buSzPts val="1000"/>
            <a:buFont typeface="Arial" panose="020B0604020202020204" pitchFamily="34" charset="0"/>
            <a:buChar char="•"/>
          </a:pPr>
          <a:r>
            <a:rPr lang="es-ES" sz="1100" u="none" strike="noStrike">
              <a:solidFill>
                <a:srgbClr val="000000"/>
              </a:solidFill>
              <a:effectLst/>
              <a:uFill>
                <a:solidFill>
                  <a:srgbClr val="000000"/>
                </a:solidFill>
              </a:uFill>
              <a:latin typeface="+mn-lt"/>
              <a:ea typeface="Arial" panose="020B0604020202020204" pitchFamily="34" charset="0"/>
              <a:cs typeface="Arial" panose="020B0604020202020204" pitchFamily="34" charset="0"/>
            </a:rPr>
            <a:t>Reducción de jornada por violencia de género </a:t>
          </a:r>
        </a:p>
        <a:p>
          <a:pPr marL="342900" lvl="0" indent="-342900" algn="just" fontAlgn="base">
            <a:lnSpc>
              <a:spcPct val="106000"/>
            </a:lnSpc>
            <a:spcAft>
              <a:spcPts val="0"/>
            </a:spcAft>
            <a:buClr>
              <a:srgbClr val="000000"/>
            </a:buClr>
            <a:buSzPts val="1000"/>
            <a:buFont typeface="Arial" panose="020B0604020202020204" pitchFamily="34" charset="0"/>
            <a:buChar char="•"/>
          </a:pPr>
          <a:r>
            <a:rPr lang="es-ES" sz="1100" u="none" strike="noStrike">
              <a:solidFill>
                <a:srgbClr val="000000"/>
              </a:solidFill>
              <a:effectLst/>
              <a:uFill>
                <a:solidFill>
                  <a:srgbClr val="000000"/>
                </a:solidFill>
              </a:uFill>
              <a:latin typeface="+mn-lt"/>
              <a:ea typeface="Arial" panose="020B0604020202020204" pitchFamily="34" charset="0"/>
              <a:cs typeface="Arial" panose="020B0604020202020204" pitchFamily="34" charset="0"/>
            </a:rPr>
            <a:t>Incapacidad temporal con pago directo por el INSS, siempre que haya reincorporación efectiva al puesto de trabajo </a:t>
          </a:r>
        </a:p>
        <a:p>
          <a:pPr marL="6350" indent="-6350" algn="just">
            <a:lnSpc>
              <a:spcPct val="106000"/>
            </a:lnSpc>
            <a:spcAft>
              <a:spcPts val="0"/>
            </a:spcAft>
          </a:pPr>
          <a:r>
            <a:rPr lang="es-ES" sz="1100">
              <a:solidFill>
                <a:srgbClr val="000000"/>
              </a:solidFill>
              <a:effectLst/>
              <a:latin typeface="+mn-lt"/>
              <a:ea typeface="Times New Roman" panose="02020603050405020304" pitchFamily="18" charset="0"/>
            </a:rPr>
            <a:t>Estas situaciones se consideran computables a todos los efectos dentro del programa, y no afectan ni al cálculo del coeficiente ni al reparto de las bolsas. </a:t>
          </a:r>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a_Incentivos4562" displayName="Tabla_Incentivos4562" ref="B5:F10" totalsRowCount="1" headerRowDxfId="51" dataDxfId="49" totalsRowDxfId="47" headerRowBorderDxfId="50" tableBorderDxfId="48" totalsRowBorderDxfId="46">
  <sortState xmlns:xlrd2="http://schemas.microsoft.com/office/spreadsheetml/2017/richdata2" ref="B6:Q42">
    <sortCondition ref="C6"/>
  </sortState>
  <tableColumns count="5">
    <tableColumn id="1" xr3:uid="{00000000-0010-0000-0000-000001000000}" name="DNI" totalsRowFunction="count" dataDxfId="45" totalsRowDxfId="44">
      <calculatedColumnFormula>Tabla_Incentivos456[[#This Row],[DNI]]</calculatedColumnFormula>
    </tableColumn>
    <tableColumn id="2" xr3:uid="{00000000-0010-0000-0000-000002000000}" name="APELLIDO 1" dataDxfId="43" totalsRowDxfId="42">
      <calculatedColumnFormula>Tabla_Incentivos456[[#This Row],[APELLIDO 1]]</calculatedColumnFormula>
    </tableColumn>
    <tableColumn id="3" xr3:uid="{00000000-0010-0000-0000-000003000000}" name="APELLIDO 2" dataDxfId="41" totalsRowDxfId="40">
      <calculatedColumnFormula>Tabla_Incentivos456[[#This Row],[APELLIDO 2]]</calculatedColumnFormula>
    </tableColumn>
    <tableColumn id="4" xr3:uid="{00000000-0010-0000-0000-000004000000}" name="NOMBRE" dataDxfId="39" totalsRowDxfId="38">
      <calculatedColumnFormula>Tabla_Incentivos456[[#This Row],[NOMBRE]]</calculatedColumnFormula>
    </tableColumn>
    <tableColumn id="17" xr3:uid="{00000000-0010-0000-0000-000011000000}" name="TOTAL INCENTIVO" totalsRowFunction="sum" dataDxfId="37" totalsRowDxfId="36" dataCellStyle="Moneda">
      <calculatedColumnFormula>Tabla_Incentivos456[[#This Row],[INCENTIVO FINAL A ABONAR]]</calculatedColumnFormula>
    </tableColumn>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1000000}" name="Tabla_Incentivos456" displayName="Tabla_Incentivos456" ref="B5:P10" totalsRowCount="1" headerRowDxfId="35" dataDxfId="33" totalsRowDxfId="31" headerRowBorderDxfId="34" tableBorderDxfId="32" totalsRowBorderDxfId="30">
  <sortState xmlns:xlrd2="http://schemas.microsoft.com/office/spreadsheetml/2017/richdata2" ref="B6:Q42">
    <sortCondition ref="C6"/>
  </sortState>
  <tableColumns count="15">
    <tableColumn id="1" xr3:uid="{00000000-0010-0000-0100-000001000000}" name="DNI" totalsRowFunction="count" dataDxfId="29" totalsRowDxfId="14"/>
    <tableColumn id="2" xr3:uid="{00000000-0010-0000-0100-000002000000}" name="APELLIDO 1" dataDxfId="28" totalsRowDxfId="13"/>
    <tableColumn id="3" xr3:uid="{00000000-0010-0000-0100-000003000000}" name="APELLIDO 2" dataDxfId="27" totalsRowDxfId="12"/>
    <tableColumn id="4" xr3:uid="{00000000-0010-0000-0100-000004000000}" name="NOMBRE" dataDxfId="26" totalsRowDxfId="11"/>
    <tableColumn id="6" xr3:uid="{00000000-0010-0000-0100-000006000000}" name="COEFICIENTE_x000a_DE PARTICIPACION" dataDxfId="25" totalsRowDxfId="10"/>
    <tableColumn id="8" xr3:uid="{00000000-0010-0000-0100-000008000000}" name="COEFICIENTE  BOLSA PROGRAMA" dataDxfId="24" totalsRowDxfId="9"/>
    <tableColumn id="7" xr3:uid="{00000000-0010-0000-0100-000007000000}" name="INCENTIVO_x000a_INICIAL" totalsRowFunction="sum" dataDxfId="23" totalsRowDxfId="8" dataCellStyle="Moneda"/>
    <tableColumn id="15" xr3:uid="{00000000-0010-0000-0100-00000F000000}" name="APORTA A LA BOLSA DEL PROGRAMA POR INCIDENCIAS" dataDxfId="22" totalsRowDxfId="7">
      <calculatedColumnFormula>IF(ISBLANK(Tabla_Incentivos456[[#This Row],[COEFICIENTE  BOLSA PROGRAMA]]),0,ROUND(Tabla_Incentivos456[[#This Row],[INCENTIVO
INICIAL]]*Tabla_Incentivos456[[#This Row],[COEFICIENTE  BOLSA PROGRAMA]],4))</calculatedColumnFormula>
    </tableColumn>
    <tableColumn id="9" xr3:uid="{00000000-0010-0000-0100-000009000000}" name="INCENTIVO DEFINITIVO" dataDxfId="21" totalsRowDxfId="6" dataCellStyle="Moneda">
      <calculatedColumnFormula>Tabla_Incentivos456[[#This Row],[INCENTIVO
INICIAL]]-Tabla_Incentivos456[[#This Row],[APORTA A LA BOLSA DEL PROGRAMA POR INCIDENCIAS]]</calculatedColumnFormula>
    </tableColumn>
    <tableColumn id="10" xr3:uid="{00000000-0010-0000-0100-00000A000000}" name="Puntuación resultante de los objetivos alcanzados  (de 0 a 100)" dataDxfId="20" totalsRowDxfId="5"/>
    <tableColumn id="11" xr3:uid="{00000000-0010-0000-0100-00000B000000}" name="INCENTIVO TRAS APLICACIÓN PUNTUACIÓN OBJETIVOS" dataDxfId="19" totalsRowDxfId="4">
      <calculatedColumnFormula>ROUND(Tabla_Incentivos456[[#This Row],[Puntuación resultante de los objetivos alcanzados  (de 0 a 100)]]*Tabla_Incentivos456[[#This Row],[INCENTIVO DEFINITIVO]]/100,4)</calculatedColumnFormula>
    </tableColumn>
    <tableColumn id="16" xr3:uid="{00000000-0010-0000-0100-000010000000}" name="APORTA A LA BOLSA DEL PROGRAMA POR APLICACIÓN DE OBJETIVOS" dataDxfId="18" totalsRowDxfId="3">
      <calculatedColumnFormula>ROUND(Tabla_Incentivos456[[#This Row],[INCENTIVO DEFINITIVO]]-Tabla_Incentivos456[[#This Row],[INCENTIVO TRAS APLICACIÓN PUNTUACIÓN OBJETIVOS]],4)</calculatedColumnFormula>
    </tableColumn>
    <tableColumn id="12" xr3:uid="{00000000-0010-0000-0100-00000C000000}" name="SUMA DE APORTACIONES A LA  BOLSA DEL PROGRAMA" totalsRowFunction="sum" dataDxfId="17" totalsRowDxfId="2">
      <calculatedColumnFormula>ROUND(Tabla_Incentivos456[[#This Row],[INCENTIVO
INICIAL]]-Tabla_Incentivos456[[#This Row],[INCENTIVO TRAS APLICACIÓN PUNTUACIÓN OBJETIVOS]],4)</calculatedColumnFormula>
    </tableColumn>
    <tableColumn id="13" xr3:uid="{00000000-0010-0000-0100-00000D000000}" name="REPARTO_x000a_DE LA BOLSA_x000a_DEL PROGRAMA" totalsRowFunction="sum" dataDxfId="16" totalsRowDxfId="1">
      <calculatedColumnFormula>IF(Tabla_Incentivos456[[#This Row],[Puntuación resultante de los objetivos alcanzados  (de 0 a 100)]]&gt;=70,ROUND(Tabla_Incentivos456[[#Totals],[SUMA DE APORTACIONES A LA  BOLSA DEL PROGRAMA]]/COUNTIF(Tabla_Incentivos456[Puntuación resultante de los objetivos alcanzados  (de 0 a 100)],"&gt;=70"),4),0)</calculatedColumnFormula>
    </tableColumn>
    <tableColumn id="14" xr3:uid="{00000000-0010-0000-0100-00000E000000}" name="INCENTIVO FINAL A ABONAR" totalsRowFunction="sum" dataDxfId="15" totalsRowDxfId="0" dataCellStyle="Moneda">
      <calculatedColumnFormula>ROUND(Tabla_Incentivos456[[#This Row],[INCENTIVO TRAS APLICACIÓN PUNTUACIÓN OBJETIVOS]]+Tabla_Incentivos456[[#This Row],[REPARTO
DE LA BOLSA
DEL PROGRAMA]],4)</calculatedColumnFormula>
    </tableColumn>
  </tableColumns>
  <tableStyleInfo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C25"/>
  <sheetViews>
    <sheetView topLeftCell="A19" zoomScale="160" zoomScaleNormal="160" workbookViewId="0">
      <selection activeCell="B13" sqref="B13"/>
    </sheetView>
  </sheetViews>
  <sheetFormatPr baseColWidth="10" defaultRowHeight="15" x14ac:dyDescent="0.25"/>
  <cols>
    <col min="1" max="1" width="5.28515625" style="29" bestFit="1" customWidth="1"/>
    <col min="2" max="2" width="35.140625" customWidth="1"/>
    <col min="3" max="3" width="48.140625" customWidth="1"/>
  </cols>
  <sheetData>
    <row r="1" spans="1:3" x14ac:dyDescent="0.25">
      <c r="A1" s="44" t="s">
        <v>29</v>
      </c>
      <c r="B1" s="45"/>
      <c r="C1" s="46"/>
    </row>
    <row r="2" spans="1:3" ht="15.75" thickBot="1" x14ac:dyDescent="0.3">
      <c r="A2" s="47"/>
      <c r="B2" s="48"/>
      <c r="C2" s="49"/>
    </row>
    <row r="3" spans="1:3" ht="15.75" thickBot="1" x14ac:dyDescent="0.3"/>
    <row r="4" spans="1:3" ht="15.75" thickBot="1" x14ac:dyDescent="0.3">
      <c r="A4" s="30" t="s">
        <v>30</v>
      </c>
      <c r="B4" s="31" t="s">
        <v>31</v>
      </c>
      <c r="C4" s="30" t="s">
        <v>32</v>
      </c>
    </row>
    <row r="5" spans="1:3" ht="15.75" thickBot="1" x14ac:dyDescent="0.3">
      <c r="A5" s="30" t="s">
        <v>33</v>
      </c>
      <c r="B5" s="31" t="s">
        <v>34</v>
      </c>
      <c r="C5" s="32" t="s">
        <v>35</v>
      </c>
    </row>
    <row r="6" spans="1:3" ht="15.75" thickBot="1" x14ac:dyDescent="0.3">
      <c r="A6" s="30" t="s">
        <v>36</v>
      </c>
      <c r="B6" s="31" t="s">
        <v>37</v>
      </c>
      <c r="C6" s="32" t="s">
        <v>38</v>
      </c>
    </row>
    <row r="7" spans="1:3" ht="26.25" thickBot="1" x14ac:dyDescent="0.3">
      <c r="A7" s="30" t="s">
        <v>39</v>
      </c>
      <c r="B7" s="31" t="s">
        <v>40</v>
      </c>
      <c r="C7" s="32" t="s">
        <v>41</v>
      </c>
    </row>
    <row r="8" spans="1:3" ht="26.25" thickBot="1" x14ac:dyDescent="0.3">
      <c r="A8" s="30" t="s">
        <v>42</v>
      </c>
      <c r="B8" s="31" t="s">
        <v>43</v>
      </c>
      <c r="C8" s="32" t="s">
        <v>44</v>
      </c>
    </row>
    <row r="9" spans="1:3" ht="64.5" thickBot="1" x14ac:dyDescent="0.3">
      <c r="A9" s="30" t="s">
        <v>45</v>
      </c>
      <c r="B9" s="31" t="s">
        <v>46</v>
      </c>
      <c r="C9" s="32" t="s">
        <v>47</v>
      </c>
    </row>
    <row r="10" spans="1:3" ht="26.25" thickBot="1" x14ac:dyDescent="0.3">
      <c r="A10" s="30" t="s">
        <v>48</v>
      </c>
      <c r="B10" s="31" t="s">
        <v>49</v>
      </c>
      <c r="C10" s="32" t="s">
        <v>50</v>
      </c>
    </row>
    <row r="11" spans="1:3" ht="51.75" thickBot="1" x14ac:dyDescent="0.3">
      <c r="A11" s="30" t="s">
        <v>51</v>
      </c>
      <c r="B11" s="31" t="s">
        <v>52</v>
      </c>
      <c r="C11" s="32" t="s">
        <v>53</v>
      </c>
    </row>
    <row r="12" spans="1:3" ht="26.25" thickBot="1" x14ac:dyDescent="0.3">
      <c r="A12" s="30" t="s">
        <v>54</v>
      </c>
      <c r="B12" s="31" t="s">
        <v>55</v>
      </c>
      <c r="C12" s="32" t="s">
        <v>56</v>
      </c>
    </row>
    <row r="13" spans="1:3" ht="6" customHeight="1" thickBot="1" x14ac:dyDescent="0.3">
      <c r="A13" s="33"/>
      <c r="B13" s="34"/>
      <c r="C13" s="35"/>
    </row>
    <row r="14" spans="1:3" ht="39" thickBot="1" x14ac:dyDescent="0.3">
      <c r="A14" s="30" t="s">
        <v>57</v>
      </c>
      <c r="B14" s="31" t="s">
        <v>58</v>
      </c>
      <c r="C14" s="32" t="s">
        <v>59</v>
      </c>
    </row>
    <row r="15" spans="1:3" ht="39" thickBot="1" x14ac:dyDescent="0.3">
      <c r="A15" s="30" t="s">
        <v>60</v>
      </c>
      <c r="B15" s="31" t="s">
        <v>61</v>
      </c>
      <c r="C15" s="32" t="s">
        <v>62</v>
      </c>
    </row>
    <row r="16" spans="1:3" ht="26.25" thickBot="1" x14ac:dyDescent="0.3">
      <c r="A16" s="30" t="s">
        <v>63</v>
      </c>
      <c r="B16" s="31" t="s">
        <v>64</v>
      </c>
      <c r="C16" s="32" t="s">
        <v>65</v>
      </c>
    </row>
    <row r="17" spans="1:3" ht="39" thickBot="1" x14ac:dyDescent="0.3">
      <c r="A17" s="30" t="s">
        <v>66</v>
      </c>
      <c r="B17" s="31" t="s">
        <v>67</v>
      </c>
      <c r="C17" s="32" t="s">
        <v>68</v>
      </c>
    </row>
    <row r="18" spans="1:3" ht="39" thickBot="1" x14ac:dyDescent="0.3">
      <c r="A18" s="30" t="s">
        <v>69</v>
      </c>
      <c r="B18" s="31" t="s">
        <v>70</v>
      </c>
      <c r="C18" s="32" t="s">
        <v>71</v>
      </c>
    </row>
    <row r="19" spans="1:3" ht="90" thickBot="1" x14ac:dyDescent="0.3">
      <c r="A19" s="30" t="s">
        <v>72</v>
      </c>
      <c r="B19" s="36" t="s">
        <v>73</v>
      </c>
      <c r="C19" s="37" t="s">
        <v>74</v>
      </c>
    </row>
    <row r="20" spans="1:3" ht="26.25" thickBot="1" x14ac:dyDescent="0.3">
      <c r="A20" s="30" t="s">
        <v>75</v>
      </c>
      <c r="B20" s="38" t="s">
        <v>76</v>
      </c>
      <c r="C20" s="32" t="s">
        <v>77</v>
      </c>
    </row>
    <row r="21" spans="1:3" ht="26.25" thickBot="1" x14ac:dyDescent="0.3">
      <c r="A21" s="30" t="s">
        <v>78</v>
      </c>
      <c r="B21" s="31" t="s">
        <v>79</v>
      </c>
      <c r="C21" s="32" t="s">
        <v>80</v>
      </c>
    </row>
    <row r="22" spans="1:3" ht="26.25" thickBot="1" x14ac:dyDescent="0.3">
      <c r="A22" s="30" t="s">
        <v>81</v>
      </c>
      <c r="B22" s="31" t="s">
        <v>82</v>
      </c>
      <c r="C22" s="32" t="s">
        <v>83</v>
      </c>
    </row>
    <row r="23" spans="1:3" ht="39" thickBot="1" x14ac:dyDescent="0.3">
      <c r="A23" s="30" t="s">
        <v>84</v>
      </c>
      <c r="B23" s="31" t="s">
        <v>85</v>
      </c>
      <c r="C23" s="32" t="s">
        <v>86</v>
      </c>
    </row>
    <row r="24" spans="1:3" ht="39" thickBot="1" x14ac:dyDescent="0.3">
      <c r="A24" s="30" t="s">
        <v>87</v>
      </c>
      <c r="B24" s="31" t="s">
        <v>88</v>
      </c>
      <c r="C24" s="32" t="s">
        <v>89</v>
      </c>
    </row>
    <row r="25" spans="1:3" x14ac:dyDescent="0.25">
      <c r="A25" s="39"/>
    </row>
  </sheetData>
  <mergeCells count="1">
    <mergeCell ref="A1:C2"/>
  </mergeCells>
  <pageMargins left="0.7" right="0.7" top="0.75" bottom="0.75" header="0.3" footer="0.3"/>
  <pageSetup paperSize="9" scale="98" fitToHeight="0"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F21"/>
  <sheetViews>
    <sheetView showGridLines="0" zoomScale="120" zoomScaleNormal="120" workbookViewId="0">
      <pane ySplit="5" topLeftCell="A6" activePane="bottomLeft" state="frozen"/>
      <selection activeCell="C36" sqref="C36"/>
      <selection pane="bottomLeft" activeCell="F7" sqref="F7"/>
    </sheetView>
  </sheetViews>
  <sheetFormatPr baseColWidth="10" defaultColWidth="11.42578125" defaultRowHeight="15" x14ac:dyDescent="0.25"/>
  <cols>
    <col min="1" max="1" width="1.5703125" customWidth="1"/>
    <col min="2" max="2" width="17.140625" style="1" customWidth="1"/>
    <col min="3" max="3" width="25.5703125" style="1" customWidth="1"/>
    <col min="4" max="4" width="24.28515625" style="1" customWidth="1"/>
    <col min="5" max="6" width="18.28515625" style="1" customWidth="1"/>
    <col min="7" max="7" width="6.140625" style="1" customWidth="1"/>
    <col min="8" max="16384" width="11.42578125" style="1"/>
  </cols>
  <sheetData>
    <row r="1" spans="2:6" ht="8.25" customHeight="1" x14ac:dyDescent="0.25"/>
    <row r="2" spans="2:6" ht="15.95" customHeight="1" x14ac:dyDescent="0.25">
      <c r="B2" s="2" t="s">
        <v>11</v>
      </c>
      <c r="C2" s="52" t="str">
        <f>'Matriz de Resultados'!C2:F2</f>
        <v>SSOO- ADMIISTRACION</v>
      </c>
      <c r="D2" s="53"/>
      <c r="E2" s="50" t="s">
        <v>10</v>
      </c>
      <c r="F2" s="50"/>
    </row>
    <row r="3" spans="2:6" ht="24.95" customHeight="1" x14ac:dyDescent="0.25">
      <c r="B3" s="2" t="s">
        <v>12</v>
      </c>
      <c r="C3" s="52" t="str">
        <f>'Matriz de Resultados'!C3:F3</f>
        <v>FEDERICO AP0-1 AP0-2</v>
      </c>
      <c r="D3" s="53"/>
      <c r="E3" s="51" t="s">
        <v>6</v>
      </c>
      <c r="F3" s="51"/>
    </row>
    <row r="4" spans="2:6" ht="18" customHeight="1" x14ac:dyDescent="0.25"/>
    <row r="5" spans="2:6" ht="22.5" customHeight="1" x14ac:dyDescent="0.25">
      <c r="B5" s="5" t="s">
        <v>0</v>
      </c>
      <c r="C5" s="6" t="s">
        <v>1</v>
      </c>
      <c r="D5" s="6" t="s">
        <v>2</v>
      </c>
      <c r="E5" s="6" t="s">
        <v>3</v>
      </c>
      <c r="F5" s="6" t="s">
        <v>17</v>
      </c>
    </row>
    <row r="6" spans="2:6" x14ac:dyDescent="0.25">
      <c r="B6" s="8" t="str">
        <f>Tabla_Incentivos456[[#This Row],[DNI]]</f>
        <v>25718282G</v>
      </c>
      <c r="C6" s="9" t="str">
        <f>Tabla_Incentivos456[[#This Row],[APELLIDO 1]]</f>
        <v>AP1-1</v>
      </c>
      <c r="D6" s="9" t="str">
        <f>Tabla_Incentivos456[[#This Row],[APELLIDO 2]]</f>
        <v>AP1-2</v>
      </c>
      <c r="E6" s="9" t="str">
        <f>Tabla_Incentivos456[[#This Row],[NOMBRE]]</f>
        <v>PEDOR</v>
      </c>
      <c r="F6" s="18">
        <f>Tabla_Incentivos456[[#This Row],[INCENTIVO FINAL A ABONAR]]</f>
        <v>968.93330000000003</v>
      </c>
    </row>
    <row r="7" spans="2:6" x14ac:dyDescent="0.25">
      <c r="B7" s="26" t="str">
        <f>Tabla_Incentivos456[[#This Row],[DNI]]</f>
        <v>27375597P</v>
      </c>
      <c r="C7" s="9" t="str">
        <f>Tabla_Incentivos456[[#This Row],[APELLIDO 1]]</f>
        <v>AP2-1</v>
      </c>
      <c r="D7" s="9" t="str">
        <f>Tabla_Incentivos456[[#This Row],[APELLIDO 2]]</f>
        <v>AP2-2</v>
      </c>
      <c r="E7" s="9" t="str">
        <f>Tabla_Incentivos456[[#This Row],[NOMBRE]]</f>
        <v>JOSE</v>
      </c>
      <c r="F7" s="27">
        <f>Tabla_Incentivos456[[#This Row],[INCENTIVO FINAL A ABONAR]]</f>
        <v>0</v>
      </c>
    </row>
    <row r="8" spans="2:6" x14ac:dyDescent="0.25">
      <c r="B8" s="26" t="str">
        <f>Tabla_Incentivos456[[#This Row],[DNI]]</f>
        <v>25674609P</v>
      </c>
      <c r="C8" s="9" t="str">
        <f>Tabla_Incentivos456[[#This Row],[APELLIDO 1]]</f>
        <v>AP3-1</v>
      </c>
      <c r="D8" s="9" t="str">
        <f>Tabla_Incentivos456[[#This Row],[APELLIDO 2]]</f>
        <v>AP3-2</v>
      </c>
      <c r="E8" s="9" t="str">
        <f>Tabla_Incentivos456[[#This Row],[NOMBRE]]</f>
        <v>LUIS</v>
      </c>
      <c r="F8" s="27">
        <f>Tabla_Incentivos456[[#This Row],[INCENTIVO FINAL A ABONAR]]</f>
        <v>538.83330000000001</v>
      </c>
    </row>
    <row r="9" spans="2:6" x14ac:dyDescent="0.25">
      <c r="B9" s="26" t="str">
        <f>Tabla_Incentivos456[[#This Row],[DNI]]</f>
        <v>25707135N</v>
      </c>
      <c r="C9" s="9" t="str">
        <f>Tabla_Incentivos456[[#This Row],[APELLIDO 1]]</f>
        <v>AP4-1</v>
      </c>
      <c r="D9" s="9" t="str">
        <f>Tabla_Incentivos456[[#This Row],[APELLIDO 2]]</f>
        <v>AP4-2</v>
      </c>
      <c r="E9" s="9" t="str">
        <f>Tabla_Incentivos456[[#This Row],[NOMBRE]]</f>
        <v>ANTONIO</v>
      </c>
      <c r="F9" s="27">
        <f>Tabla_Incentivos456[[#This Row],[INCENTIVO FINAL A ABONAR]]</f>
        <v>1168.9332999999999</v>
      </c>
    </row>
    <row r="10" spans="2:6" x14ac:dyDescent="0.25">
      <c r="B10" s="24">
        <f>SUBTOTAL(103,Tabla_Incentivos4562[DNI])</f>
        <v>4</v>
      </c>
      <c r="C10" s="14"/>
      <c r="D10" s="14"/>
      <c r="E10" s="14"/>
      <c r="F10" s="25">
        <f>SUBTOTAL(109,Tabla_Incentivos4562[TOTAL INCENTIVO])</f>
        <v>2676.6998999999996</v>
      </c>
    </row>
    <row r="11" spans="2:6" x14ac:dyDescent="0.25">
      <c r="C11" s="16"/>
      <c r="D11" s="16"/>
      <c r="E11" s="16"/>
      <c r="F11" s="16"/>
    </row>
    <row r="12" spans="2:6" ht="21.95" customHeight="1" x14ac:dyDescent="0.25">
      <c r="B12" s="54" t="s">
        <v>90</v>
      </c>
      <c r="C12" s="54"/>
      <c r="D12" s="54"/>
      <c r="E12" s="54"/>
      <c r="F12" s="54"/>
    </row>
    <row r="13" spans="2:6" ht="14.45" customHeight="1" x14ac:dyDescent="0.25">
      <c r="B13" s="54"/>
      <c r="C13" s="54"/>
      <c r="D13" s="54"/>
      <c r="E13" s="54"/>
      <c r="F13" s="54"/>
    </row>
    <row r="14" spans="2:6" x14ac:dyDescent="0.25">
      <c r="B14" s="54"/>
      <c r="C14" s="54"/>
      <c r="D14" s="54"/>
      <c r="E14" s="54"/>
      <c r="F14" s="54"/>
    </row>
    <row r="15" spans="2:6" ht="30" x14ac:dyDescent="0.25">
      <c r="B15" s="28" t="s">
        <v>91</v>
      </c>
      <c r="C15" s="28"/>
      <c r="D15" s="28"/>
      <c r="E15" s="28" t="s">
        <v>92</v>
      </c>
      <c r="F15" s="28"/>
    </row>
    <row r="16" spans="2:6" x14ac:dyDescent="0.25">
      <c r="B16" s="28"/>
      <c r="C16" s="28"/>
      <c r="D16" s="28"/>
      <c r="E16" s="28"/>
      <c r="F16" s="28"/>
    </row>
    <row r="17" spans="2:6" x14ac:dyDescent="0.25">
      <c r="B17" s="28"/>
      <c r="C17" s="28"/>
      <c r="D17" s="28"/>
      <c r="E17" s="28"/>
      <c r="F17" s="28"/>
    </row>
    <row r="18" spans="2:6" x14ac:dyDescent="0.25">
      <c r="B18" s="28"/>
      <c r="C18" s="28"/>
      <c r="D18" s="28"/>
      <c r="E18" s="28"/>
      <c r="F18" s="28"/>
    </row>
    <row r="19" spans="2:6" x14ac:dyDescent="0.25">
      <c r="B19" s="28"/>
      <c r="C19" s="28"/>
      <c r="D19" s="28"/>
      <c r="E19" s="28"/>
      <c r="F19" s="28"/>
    </row>
    <row r="20" spans="2:6" x14ac:dyDescent="0.25">
      <c r="B20" s="28"/>
      <c r="C20" s="28"/>
      <c r="D20" s="28"/>
      <c r="E20" s="28"/>
      <c r="F20" s="28"/>
    </row>
    <row r="21" spans="2:6" x14ac:dyDescent="0.25">
      <c r="B21" s="28"/>
      <c r="C21" s="28"/>
      <c r="D21" s="28"/>
      <c r="E21" s="28"/>
      <c r="F21" s="28"/>
    </row>
  </sheetData>
  <mergeCells count="5">
    <mergeCell ref="E2:F2"/>
    <mergeCell ref="E3:F3"/>
    <mergeCell ref="C3:D3"/>
    <mergeCell ref="C2:D2"/>
    <mergeCell ref="B12:F14"/>
  </mergeCells>
  <pageMargins left="7.874015748031496E-2" right="7.874015748031496E-2" top="0.35433070866141736" bottom="0.35433070866141736" header="0.31496062992125984" footer="0.31496062992125984"/>
  <pageSetup paperSize="9" scale="95"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B1:P16"/>
  <sheetViews>
    <sheetView showGridLines="0" tabSelected="1" zoomScale="90" zoomScaleNormal="90" workbookViewId="0">
      <pane ySplit="5" topLeftCell="A6" activePane="bottomLeft" state="frozen"/>
      <selection activeCell="C36" sqref="C36"/>
      <selection pane="bottomLeft" activeCell="K7" sqref="K7"/>
    </sheetView>
  </sheetViews>
  <sheetFormatPr baseColWidth="10" defaultColWidth="11.42578125" defaultRowHeight="15" x14ac:dyDescent="0.25"/>
  <cols>
    <col min="1" max="1" width="1.5703125" style="1" customWidth="1"/>
    <col min="2" max="2" width="17.140625" style="1" customWidth="1"/>
    <col min="3" max="3" width="25.5703125" style="1" customWidth="1"/>
    <col min="4" max="4" width="24.28515625" style="1" customWidth="1"/>
    <col min="5" max="5" width="20" style="1" bestFit="1" customWidth="1"/>
    <col min="6" max="6" width="15.140625" style="1" customWidth="1"/>
    <col min="7" max="7" width="12.85546875" style="1" customWidth="1"/>
    <col min="8" max="8" width="13" style="1" customWidth="1"/>
    <col min="9" max="9" width="12.28515625" style="1" customWidth="1"/>
    <col min="10" max="11" width="12.42578125" style="1" customWidth="1"/>
    <col min="12" max="12" width="13.5703125" style="1" customWidth="1"/>
    <col min="13" max="13" width="14.85546875" style="1" customWidth="1"/>
    <col min="14" max="14" width="13.5703125" style="1" customWidth="1"/>
    <col min="15" max="15" width="12.7109375" style="1" customWidth="1"/>
    <col min="16" max="16" width="14.42578125" style="1" customWidth="1"/>
    <col min="17" max="17" width="6.140625" style="1" customWidth="1"/>
    <col min="18" max="16384" width="11.42578125" style="1"/>
  </cols>
  <sheetData>
    <row r="1" spans="2:16" ht="8.25" customHeight="1" x14ac:dyDescent="0.25"/>
    <row r="2" spans="2:16" ht="27.75" customHeight="1" x14ac:dyDescent="0.25">
      <c r="B2" s="2" t="s">
        <v>11</v>
      </c>
      <c r="C2" s="59" t="s">
        <v>28</v>
      </c>
      <c r="D2" s="60"/>
      <c r="E2" s="60"/>
      <c r="F2" s="61"/>
      <c r="G2" s="62" t="s">
        <v>10</v>
      </c>
      <c r="H2" s="62"/>
      <c r="I2" s="57" t="s">
        <v>9</v>
      </c>
      <c r="J2" s="57"/>
      <c r="K2" s="57"/>
      <c r="L2" s="2" t="s">
        <v>13</v>
      </c>
      <c r="M2" s="3" t="s">
        <v>14</v>
      </c>
      <c r="N2" s="57" t="s">
        <v>18</v>
      </c>
      <c r="O2" s="57"/>
      <c r="P2" s="17" t="s">
        <v>16</v>
      </c>
    </row>
    <row r="3" spans="2:16" ht="24" customHeight="1" x14ac:dyDescent="0.25">
      <c r="B3" s="2" t="s">
        <v>12</v>
      </c>
      <c r="C3" s="59" t="s">
        <v>109</v>
      </c>
      <c r="D3" s="60"/>
      <c r="E3" s="60"/>
      <c r="F3" s="61"/>
      <c r="G3" s="63" t="s">
        <v>6</v>
      </c>
      <c r="H3" s="63"/>
      <c r="I3" s="58">
        <f>Tabla_Incentivos456[[#Totals],[INCENTIVO
INICIAL]]</f>
        <v>2676.7</v>
      </c>
      <c r="J3" s="58"/>
      <c r="K3" s="58"/>
      <c r="L3" s="19">
        <v>1000</v>
      </c>
      <c r="M3" s="4">
        <f>Tabla_Incentivos456[[#Totals],[DNI]]</f>
        <v>4</v>
      </c>
      <c r="N3" s="58">
        <f>Tabla_Incentivos456[[#Totals],[SUMA DE APORTACIONES A LA  BOLSA DEL PROGRAMA]]</f>
        <v>506.8</v>
      </c>
      <c r="O3" s="58"/>
      <c r="P3" s="4">
        <f>COUNTIF(Tabla_Incentivos456[REPARTO
DE LA BOLSA
DEL PROGRAMA],"&gt;0")</f>
        <v>3</v>
      </c>
    </row>
    <row r="4" spans="2:16" ht="18" customHeight="1" thickBot="1" x14ac:dyDescent="0.3"/>
    <row r="5" spans="2:16" ht="68.25" customHeight="1" thickBot="1" x14ac:dyDescent="0.3">
      <c r="B5" s="5" t="s">
        <v>0</v>
      </c>
      <c r="C5" s="6" t="s">
        <v>1</v>
      </c>
      <c r="D5" s="6" t="s">
        <v>2</v>
      </c>
      <c r="E5" s="6" t="s">
        <v>3</v>
      </c>
      <c r="F5" s="7" t="s">
        <v>22</v>
      </c>
      <c r="G5" s="7" t="s">
        <v>8</v>
      </c>
      <c r="H5" s="6" t="s">
        <v>5</v>
      </c>
      <c r="I5" s="40" t="s">
        <v>93</v>
      </c>
      <c r="J5" s="41" t="s">
        <v>94</v>
      </c>
      <c r="K5" s="42" t="s">
        <v>23</v>
      </c>
      <c r="L5" s="41" t="s">
        <v>95</v>
      </c>
      <c r="M5" s="41" t="s">
        <v>4</v>
      </c>
      <c r="N5" s="41" t="s">
        <v>7</v>
      </c>
      <c r="O5" s="41" t="s">
        <v>15</v>
      </c>
      <c r="P5" s="43" t="s">
        <v>96</v>
      </c>
    </row>
    <row r="6" spans="2:16" x14ac:dyDescent="0.25">
      <c r="B6" s="22" t="s">
        <v>24</v>
      </c>
      <c r="C6" s="22" t="s">
        <v>97</v>
      </c>
      <c r="D6" s="22" t="s">
        <v>98</v>
      </c>
      <c r="E6" s="22" t="s">
        <v>99</v>
      </c>
      <c r="F6" s="22">
        <v>1</v>
      </c>
      <c r="G6" s="22"/>
      <c r="H6" s="23">
        <f>$L$3*Tabla_Incentivos456[[#This Row],[COEFICIENTE
DE PARTICIPACION]]</f>
        <v>1000</v>
      </c>
      <c r="I6" s="10">
        <f>IF(ISBLANK(Tabla_Incentivos456[[#This Row],[COEFICIENTE  BOLSA PROGRAMA]]),0,ROUND(Tabla_Incentivos456[[#This Row],[INCENTIVO
INICIAL]]*Tabla_Incentivos456[[#This Row],[COEFICIENTE  BOLSA PROGRAMA]],4))</f>
        <v>0</v>
      </c>
      <c r="J6" s="11">
        <f>Tabla_Incentivos456[[#This Row],[INCENTIVO
INICIAL]]-Tabla_Incentivos456[[#This Row],[APORTA A LA BOLSA DEL PROGRAMA POR INCIDENCIAS]]</f>
        <v>1000</v>
      </c>
      <c r="K6" s="20">
        <v>80</v>
      </c>
      <c r="L6" s="10">
        <f>ROUND(Tabla_Incentivos456[[#This Row],[Puntuación resultante de los objetivos alcanzados  (de 0 a 100)]]*Tabla_Incentivos456[[#This Row],[INCENTIVO DEFINITIVO]]/100,4)</f>
        <v>800</v>
      </c>
      <c r="M6" s="10">
        <f>ROUND(Tabla_Incentivos456[[#This Row],[INCENTIVO DEFINITIVO]]-Tabla_Incentivos456[[#This Row],[INCENTIVO TRAS APLICACIÓN PUNTUACIÓN OBJETIVOS]],4)</f>
        <v>200</v>
      </c>
      <c r="N6" s="12">
        <f>ROUND(Tabla_Incentivos456[[#This Row],[INCENTIVO
INICIAL]]-Tabla_Incentivos456[[#This Row],[INCENTIVO TRAS APLICACIÓN PUNTUACIÓN OBJETIVOS]],4)</f>
        <v>200</v>
      </c>
      <c r="O6" s="12">
        <f>IF(Tabla_Incentivos456[[#This Row],[Puntuación resultante de los objetivos alcanzados  (de 0 a 100)]]&gt;=70,ROUND(Tabla_Incentivos456[[#Totals],[SUMA DE APORTACIONES A LA  BOLSA DEL PROGRAMA]]/COUNTIF(Tabla_Incentivos456[Puntuación resultante de los objetivos alcanzados  (de 0 a 100)],"&gt;=70"),4),0)</f>
        <v>168.9333</v>
      </c>
      <c r="P6" s="13">
        <f>ROUND(Tabla_Incentivos456[[#This Row],[INCENTIVO TRAS APLICACIÓN PUNTUACIÓN OBJETIVOS]]+Tabla_Incentivos456[[#This Row],[REPARTO
DE LA BOLSA
DEL PROGRAMA]],4)</f>
        <v>968.93330000000003</v>
      </c>
    </row>
    <row r="7" spans="2:16" x14ac:dyDescent="0.25">
      <c r="B7" s="22" t="s">
        <v>25</v>
      </c>
      <c r="C7" s="22" t="s">
        <v>103</v>
      </c>
      <c r="D7" s="22" t="s">
        <v>106</v>
      </c>
      <c r="E7" s="22" t="s">
        <v>100</v>
      </c>
      <c r="F7" s="22">
        <v>0.30680000000000002</v>
      </c>
      <c r="G7" s="22"/>
      <c r="H7" s="23">
        <f>$L$3*Tabla_Incentivos456[[#This Row],[COEFICIENTE
DE PARTICIPACION]]</f>
        <v>306.8</v>
      </c>
      <c r="I7" s="10">
        <f>IF(ISBLANK(Tabla_Incentivos456[[#This Row],[COEFICIENTE  BOLSA PROGRAMA]]),0,ROUND(Tabla_Incentivos456[[#This Row],[INCENTIVO
INICIAL]]*Tabla_Incentivos456[[#This Row],[COEFICIENTE  BOLSA PROGRAMA]],4))</f>
        <v>0</v>
      </c>
      <c r="J7" s="21">
        <f>Tabla_Incentivos456[[#This Row],[INCENTIVO
INICIAL]]-Tabla_Incentivos456[[#This Row],[APORTA A LA BOLSA DEL PROGRAMA POR INCIDENCIAS]]</f>
        <v>306.8</v>
      </c>
      <c r="K7" s="20">
        <v>0</v>
      </c>
      <c r="L7" s="10">
        <f>ROUND(Tabla_Incentivos456[[#This Row],[Puntuación resultante de los objetivos alcanzados  (de 0 a 100)]]*Tabla_Incentivos456[[#This Row],[INCENTIVO DEFINITIVO]]/100,4)</f>
        <v>0</v>
      </c>
      <c r="M7" s="10">
        <f>ROUND(Tabla_Incentivos456[[#This Row],[INCENTIVO DEFINITIVO]]-Tabla_Incentivos456[[#This Row],[INCENTIVO TRAS APLICACIÓN PUNTUACIÓN OBJETIVOS]],4)</f>
        <v>306.8</v>
      </c>
      <c r="N7" s="12">
        <f>ROUND(Tabla_Incentivos456[[#This Row],[INCENTIVO
INICIAL]]-Tabla_Incentivos456[[#This Row],[INCENTIVO TRAS APLICACIÓN PUNTUACIÓN OBJETIVOS]],4)</f>
        <v>306.8</v>
      </c>
      <c r="O7" s="12">
        <f>IF(Tabla_Incentivos456[[#This Row],[Puntuación resultante de los objetivos alcanzados  (de 0 a 100)]]&gt;=70,ROUND(Tabla_Incentivos456[[#Totals],[SUMA DE APORTACIONES A LA  BOLSA DEL PROGRAMA]]/COUNTIF(Tabla_Incentivos456[Puntuación resultante de los objetivos alcanzados  (de 0 a 100)],"&gt;=70"),4),0)</f>
        <v>0</v>
      </c>
      <c r="P7" s="13">
        <f>ROUND(Tabla_Incentivos456[[#This Row],[INCENTIVO TRAS APLICACIÓN PUNTUACIÓN OBJETIVOS]]+Tabla_Incentivos456[[#This Row],[REPARTO
DE LA BOLSA
DEL PROGRAMA]],4)</f>
        <v>0</v>
      </c>
    </row>
    <row r="8" spans="2:16" x14ac:dyDescent="0.25">
      <c r="B8" s="22" t="s">
        <v>26</v>
      </c>
      <c r="C8" s="22" t="s">
        <v>104</v>
      </c>
      <c r="D8" s="22" t="s">
        <v>107</v>
      </c>
      <c r="E8" s="22" t="s">
        <v>101</v>
      </c>
      <c r="F8" s="22">
        <v>0.36990000000000001</v>
      </c>
      <c r="G8" s="22"/>
      <c r="H8" s="23">
        <f>$L$3*Tabla_Incentivos456[[#This Row],[COEFICIENTE
DE PARTICIPACION]]</f>
        <v>369.90000000000003</v>
      </c>
      <c r="I8" s="10">
        <f>IF(ISBLANK(Tabla_Incentivos456[[#This Row],[COEFICIENTE  BOLSA PROGRAMA]]),0,ROUND(Tabla_Incentivos456[[#This Row],[INCENTIVO
INICIAL]]*Tabla_Incentivos456[[#This Row],[COEFICIENTE  BOLSA PROGRAMA]],4))</f>
        <v>0</v>
      </c>
      <c r="J8" s="21">
        <f>Tabla_Incentivos456[[#This Row],[INCENTIVO
INICIAL]]-Tabla_Incentivos456[[#This Row],[APORTA A LA BOLSA DEL PROGRAMA POR INCIDENCIAS]]</f>
        <v>369.90000000000003</v>
      </c>
      <c r="K8" s="20">
        <v>100</v>
      </c>
      <c r="L8" s="10">
        <f>ROUND(Tabla_Incentivos456[[#This Row],[Puntuación resultante de los objetivos alcanzados  (de 0 a 100)]]*Tabla_Incentivos456[[#This Row],[INCENTIVO DEFINITIVO]]/100,4)</f>
        <v>369.9</v>
      </c>
      <c r="M8" s="10">
        <f>ROUND(Tabla_Incentivos456[[#This Row],[INCENTIVO DEFINITIVO]]-Tabla_Incentivos456[[#This Row],[INCENTIVO TRAS APLICACIÓN PUNTUACIÓN OBJETIVOS]],4)</f>
        <v>0</v>
      </c>
      <c r="N8" s="12">
        <f>ROUND(Tabla_Incentivos456[[#This Row],[INCENTIVO
INICIAL]]-Tabla_Incentivos456[[#This Row],[INCENTIVO TRAS APLICACIÓN PUNTUACIÓN OBJETIVOS]],4)</f>
        <v>0</v>
      </c>
      <c r="O8" s="12">
        <f>IF(Tabla_Incentivos456[[#This Row],[Puntuación resultante de los objetivos alcanzados  (de 0 a 100)]]&gt;=70,ROUND(Tabla_Incentivos456[[#Totals],[SUMA DE APORTACIONES A LA  BOLSA DEL PROGRAMA]]/COUNTIF(Tabla_Incentivos456[Puntuación resultante de los objetivos alcanzados  (de 0 a 100)],"&gt;=70"),4),0)</f>
        <v>168.9333</v>
      </c>
      <c r="P8" s="13">
        <f>ROUND(Tabla_Incentivos456[[#This Row],[INCENTIVO TRAS APLICACIÓN PUNTUACIÓN OBJETIVOS]]+Tabla_Incentivos456[[#This Row],[REPARTO
DE LA BOLSA
DEL PROGRAMA]],4)</f>
        <v>538.83330000000001</v>
      </c>
    </row>
    <row r="9" spans="2:16" x14ac:dyDescent="0.25">
      <c r="B9" s="22" t="s">
        <v>27</v>
      </c>
      <c r="C9" s="22" t="s">
        <v>105</v>
      </c>
      <c r="D9" s="22" t="s">
        <v>108</v>
      </c>
      <c r="E9" s="22" t="s">
        <v>102</v>
      </c>
      <c r="F9" s="22">
        <v>1</v>
      </c>
      <c r="G9" s="22"/>
      <c r="H9" s="23">
        <f>$L$3*Tabla_Incentivos456[[#This Row],[COEFICIENTE
DE PARTICIPACION]]</f>
        <v>1000</v>
      </c>
      <c r="I9" s="10">
        <f>IF(ISBLANK(Tabla_Incentivos456[[#This Row],[COEFICIENTE  BOLSA PROGRAMA]]),0,ROUND(Tabla_Incentivos456[[#This Row],[INCENTIVO
INICIAL]]*Tabla_Incentivos456[[#This Row],[COEFICIENTE  BOLSA PROGRAMA]],4))</f>
        <v>0</v>
      </c>
      <c r="J9" s="21">
        <f>Tabla_Incentivos456[[#This Row],[INCENTIVO
INICIAL]]-Tabla_Incentivos456[[#This Row],[APORTA A LA BOLSA DEL PROGRAMA POR INCIDENCIAS]]</f>
        <v>1000</v>
      </c>
      <c r="K9" s="20">
        <v>100</v>
      </c>
      <c r="L9" s="10">
        <f>ROUND(Tabla_Incentivos456[[#This Row],[Puntuación resultante de los objetivos alcanzados  (de 0 a 100)]]*Tabla_Incentivos456[[#This Row],[INCENTIVO DEFINITIVO]]/100,4)</f>
        <v>1000</v>
      </c>
      <c r="M9" s="10">
        <f>ROUND(Tabla_Incentivos456[[#This Row],[INCENTIVO DEFINITIVO]]-Tabla_Incentivos456[[#This Row],[INCENTIVO TRAS APLICACIÓN PUNTUACIÓN OBJETIVOS]],4)</f>
        <v>0</v>
      </c>
      <c r="N9" s="12">
        <f>ROUND(Tabla_Incentivos456[[#This Row],[INCENTIVO
INICIAL]]-Tabla_Incentivos456[[#This Row],[INCENTIVO TRAS APLICACIÓN PUNTUACIÓN OBJETIVOS]],4)</f>
        <v>0</v>
      </c>
      <c r="O9" s="12">
        <f>IF(Tabla_Incentivos456[[#This Row],[Puntuación resultante de los objetivos alcanzados  (de 0 a 100)]]&gt;=70,ROUND(Tabla_Incentivos456[[#Totals],[SUMA DE APORTACIONES A LA  BOLSA DEL PROGRAMA]]/COUNTIF(Tabla_Incentivos456[Puntuación resultante de los objetivos alcanzados  (de 0 a 100)],"&gt;=70"),4),0)</f>
        <v>168.9333</v>
      </c>
      <c r="P9" s="13">
        <f>ROUND(Tabla_Incentivos456[[#This Row],[INCENTIVO TRAS APLICACIÓN PUNTUACIÓN OBJETIVOS]]+Tabla_Incentivos456[[#This Row],[REPARTO
DE LA BOLSA
DEL PROGRAMA]],4)</f>
        <v>1168.9332999999999</v>
      </c>
    </row>
    <row r="10" spans="2:16" x14ac:dyDescent="0.25">
      <c r="B10" s="64">
        <f>SUBTOTAL(103,Tabla_Incentivos456[DNI])</f>
        <v>4</v>
      </c>
      <c r="C10" s="14"/>
      <c r="D10" s="14"/>
      <c r="E10" s="14"/>
      <c r="F10" s="14"/>
      <c r="G10" s="14"/>
      <c r="H10" s="65">
        <f>SUBTOTAL(109,Tabla_Incentivos456[INCENTIVO
INICIAL])</f>
        <v>2676.7</v>
      </c>
      <c r="I10" s="14"/>
      <c r="J10" s="66"/>
      <c r="K10" s="15"/>
      <c r="L10" s="14"/>
      <c r="M10" s="14"/>
      <c r="N10" s="65">
        <f>SUBTOTAL(109,Tabla_Incentivos456[SUMA DE APORTACIONES A LA  BOLSA DEL PROGRAMA])</f>
        <v>506.8</v>
      </c>
      <c r="O10" s="65">
        <f>SUBTOTAL(109,Tabla_Incentivos456[REPARTO
DE LA BOLSA
DEL PROGRAMA])</f>
        <v>506.79989999999998</v>
      </c>
      <c r="P10" s="67">
        <f>SUBTOTAL(109,Tabla_Incentivos456[INCENTIVO FINAL A ABONAR])</f>
        <v>2676.6998999999996</v>
      </c>
    </row>
    <row r="11" spans="2:16" x14ac:dyDescent="0.25">
      <c r="B11" s="55" t="s">
        <v>19</v>
      </c>
      <c r="C11" s="56"/>
      <c r="D11" s="56"/>
      <c r="E11" s="56"/>
      <c r="F11" s="56"/>
      <c r="G11" s="56"/>
      <c r="H11" s="56"/>
      <c r="I11" s="56"/>
      <c r="J11" s="56"/>
      <c r="K11" s="56"/>
      <c r="L11" s="56"/>
      <c r="M11" s="56"/>
      <c r="N11" s="56"/>
      <c r="O11" s="56"/>
      <c r="P11" s="56"/>
    </row>
    <row r="12" spans="2:16" x14ac:dyDescent="0.25">
      <c r="B12" s="56"/>
      <c r="C12" s="56"/>
      <c r="D12" s="56"/>
      <c r="E12" s="56"/>
      <c r="F12" s="56"/>
      <c r="G12" s="56"/>
      <c r="H12" s="56"/>
      <c r="I12" s="56"/>
      <c r="J12" s="56"/>
      <c r="K12" s="56"/>
      <c r="L12" s="56"/>
      <c r="M12" s="56"/>
      <c r="N12" s="56"/>
      <c r="O12" s="56"/>
      <c r="P12" s="56"/>
    </row>
    <row r="13" spans="2:16" x14ac:dyDescent="0.25">
      <c r="B13" s="56"/>
      <c r="C13" s="56"/>
      <c r="D13" s="56"/>
      <c r="E13" s="56"/>
      <c r="F13" s="56"/>
      <c r="G13" s="56"/>
      <c r="H13" s="56"/>
      <c r="I13" s="56"/>
      <c r="J13" s="56"/>
      <c r="K13" s="56"/>
      <c r="L13" s="56"/>
      <c r="M13" s="56"/>
      <c r="N13" s="56"/>
      <c r="O13" s="56"/>
      <c r="P13" s="56"/>
    </row>
    <row r="14" spans="2:16" x14ac:dyDescent="0.25">
      <c r="B14" s="56"/>
      <c r="C14" s="56"/>
      <c r="D14" s="56"/>
      <c r="E14" s="56"/>
      <c r="F14" s="56"/>
      <c r="G14" s="56"/>
      <c r="H14" s="56"/>
      <c r="I14" s="56"/>
      <c r="J14" s="56"/>
      <c r="K14" s="56"/>
      <c r="L14" s="56"/>
      <c r="M14" s="56"/>
      <c r="N14" s="56"/>
      <c r="O14" s="56"/>
      <c r="P14" s="56"/>
    </row>
    <row r="15" spans="2:16" x14ac:dyDescent="0.25">
      <c r="B15" s="56"/>
      <c r="C15" s="56"/>
      <c r="D15" s="56"/>
      <c r="E15" s="56"/>
      <c r="F15" s="56"/>
      <c r="G15" s="56"/>
      <c r="H15" s="56"/>
      <c r="I15" s="56"/>
      <c r="J15" s="56"/>
      <c r="K15" s="56"/>
      <c r="L15" s="56"/>
      <c r="M15" s="56"/>
      <c r="N15" s="56"/>
      <c r="O15" s="56"/>
      <c r="P15" s="56"/>
    </row>
    <row r="16" spans="2:16" x14ac:dyDescent="0.25">
      <c r="B16" s="1" t="s">
        <v>20</v>
      </c>
      <c r="K16" s="1" t="s">
        <v>21</v>
      </c>
    </row>
  </sheetData>
  <mergeCells count="9">
    <mergeCell ref="B11:P15"/>
    <mergeCell ref="N2:O2"/>
    <mergeCell ref="N3:O3"/>
    <mergeCell ref="C2:F2"/>
    <mergeCell ref="G2:H2"/>
    <mergeCell ref="G3:H3"/>
    <mergeCell ref="C3:F3"/>
    <mergeCell ref="I2:K2"/>
    <mergeCell ref="I3:K3"/>
  </mergeCells>
  <pageMargins left="7.874015748031496E-2" right="7.874015748031496E-2" top="0.35433070866141736" bottom="0.35433070866141736" header="0.31496062992125984" footer="0.31496062992125984"/>
  <pageSetup paperSize="8" scale="87" orientation="landscape"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
  <sheetViews>
    <sheetView showGridLines="0" workbookViewId="0">
      <selection activeCell="N2" sqref="N2"/>
    </sheetView>
  </sheetViews>
  <sheetFormatPr baseColWidth="10" defaultRowHeight="15" x14ac:dyDescent="0.25"/>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showGridLines="0" workbookViewId="0">
      <selection activeCell="O6" sqref="O6"/>
    </sheetView>
  </sheetViews>
  <sheetFormatPr baseColWidth="10" defaultRowHeight="15" x14ac:dyDescent="0.2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5</vt:i4>
      </vt:variant>
      <vt:variant>
        <vt:lpstr>Rangos con nombre</vt:lpstr>
      </vt:variant>
      <vt:variant>
        <vt:i4>2</vt:i4>
      </vt:variant>
    </vt:vector>
  </HeadingPairs>
  <TitlesOfParts>
    <vt:vector size="7" baseType="lpstr">
      <vt:lpstr>Instrucciones</vt:lpstr>
      <vt:lpstr>RESUMEN</vt:lpstr>
      <vt:lpstr>Matriz de Resultados</vt:lpstr>
      <vt:lpstr>Coeficiente Único</vt:lpstr>
      <vt:lpstr>Las Bolsas</vt:lpstr>
      <vt:lpstr>'Matriz de Resultados'!Títulos_a_imprimir</vt:lpstr>
      <vt:lpstr>RESUMEN!Títulos_a_imprimir</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Marilo Rey</dc:creator>
  <cp:lastModifiedBy>Ramon Rodrigo Luque Luque</cp:lastModifiedBy>
  <cp:lastPrinted>2026-09-16T10:06:36Z</cp:lastPrinted>
  <dcterms:created xsi:type="dcterms:W3CDTF">2026-07-12T19:26:29Z</dcterms:created>
  <dcterms:modified xsi:type="dcterms:W3CDTF">2026-10-13T12:24:57Z</dcterms:modified>
</cp:coreProperties>
</file>