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W:\PERSONAL\PRODUCTIVIDAD\OBJETIVOS 25-26\11 - SUPERVISORES\"/>
    </mc:Choice>
  </mc:AlternateContent>
  <workbookProtection workbookAlgorithmName="SHA-512" workbookHashValue="JK+LJ7RvV1gT671kxJeN7zmGd5cW8OLaaoiAvG69O+0m9ZwhZIbSIO6RBYoQK2D5nJOaj5aXPBLHvCw76SJacw==" workbookSaltValue="OIp2jOfepy9knAFCOcSvFg==" workbookSpinCount="100000" lockStructure="1"/>
  <bookViews>
    <workbookView xWindow="0" yWindow="0" windowWidth="28800" windowHeight="12345" tabRatio="977" firstSheet="2" activeTab="2"/>
  </bookViews>
  <sheets>
    <sheet name="Instrucciones" sheetId="106" r:id="rId1"/>
    <sheet name="RESULTADOS_OBJETIVOS" sheetId="56" r:id="rId2"/>
    <sheet name="Supervis@r" sheetId="1" r:id="rId3"/>
    <sheet name="Supervis@r_Int1" sheetId="4" r:id="rId4"/>
    <sheet name="Supervis@r_Int2" sheetId="108" r:id="rId5"/>
    <sheet name="Supervis@r_Int3" sheetId="109" r:id="rId6"/>
    <sheet name="Supervis@r_Int4" sheetId="110" r:id="rId7"/>
    <sheet name="Supervis@r_Int5" sheetId="111" r:id="rId8"/>
    <sheet name="Supervis@r_Int6" sheetId="112" r:id="rId9"/>
    <sheet name="Supervis@r_Int7" sheetId="113" r:id="rId10"/>
    <sheet name="Supervis@r_Int8" sheetId="114" r:id="rId11"/>
    <sheet name="Supervis@r_Int9" sheetId="115" r:id="rId12"/>
    <sheet name="Supervis@r_Int10" sheetId="116" r:id="rId13"/>
    <sheet name="Supervis@r_Int11" sheetId="117" r:id="rId14"/>
    <sheet name="Supervis@r_Int12" sheetId="118" r:id="rId15"/>
  </sheets>
  <definedNames>
    <definedName name="_xlnm._FilterDatabase" localSheetId="1" hidden="1">RESULTADOS_OBJETIVOS!$A$4:$H$17</definedName>
    <definedName name="_xlnm.Print_Titles" localSheetId="1">RESULTADOS_OBJETIVOS!$1:$4</definedName>
    <definedName name="_xlnm.Print_Titles" localSheetId="2">'Supervis@r'!$1:$2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109" l="1"/>
  <c r="D16" i="109"/>
  <c r="A16" i="109"/>
  <c r="I16" i="109" s="1"/>
  <c r="J16" i="109" s="1"/>
  <c r="I15" i="109"/>
  <c r="J15" i="109" s="1"/>
  <c r="A15" i="109"/>
  <c r="A14" i="109"/>
  <c r="I14" i="109" s="1"/>
  <c r="J14" i="109" s="1"/>
  <c r="I13" i="109"/>
  <c r="J13" i="109" s="1"/>
  <c r="A13" i="109"/>
  <c r="A12" i="109"/>
  <c r="I12" i="109" s="1"/>
  <c r="J12" i="109" s="1"/>
  <c r="I11" i="109"/>
  <c r="J11" i="109" s="1"/>
  <c r="A11" i="109"/>
  <c r="C3" i="109"/>
  <c r="I2" i="109"/>
  <c r="C2" i="109"/>
  <c r="C1" i="109"/>
  <c r="D17" i="110"/>
  <c r="D16" i="110"/>
  <c r="A16" i="110"/>
  <c r="I16" i="110" s="1"/>
  <c r="J16" i="110" s="1"/>
  <c r="I15" i="110"/>
  <c r="J15" i="110" s="1"/>
  <c r="A15" i="110"/>
  <c r="A14" i="110"/>
  <c r="I14" i="110" s="1"/>
  <c r="J14" i="110" s="1"/>
  <c r="I13" i="110"/>
  <c r="J13" i="110" s="1"/>
  <c r="A13" i="110"/>
  <c r="A12" i="110"/>
  <c r="I12" i="110" s="1"/>
  <c r="J12" i="110" s="1"/>
  <c r="I11" i="110"/>
  <c r="J11" i="110" s="1"/>
  <c r="A11" i="110"/>
  <c r="C3" i="110"/>
  <c r="I2" i="110"/>
  <c r="C2" i="110"/>
  <c r="C1" i="110"/>
  <c r="D16" i="111"/>
  <c r="D17" i="111" s="1"/>
  <c r="A16" i="111"/>
  <c r="I16" i="111" s="1"/>
  <c r="J16" i="111" s="1"/>
  <c r="I15" i="111"/>
  <c r="J15" i="111" s="1"/>
  <c r="A15" i="111"/>
  <c r="A14" i="111"/>
  <c r="I14" i="111" s="1"/>
  <c r="J14" i="111" s="1"/>
  <c r="I13" i="111"/>
  <c r="J13" i="111" s="1"/>
  <c r="A13" i="111"/>
  <c r="J12" i="111"/>
  <c r="A12" i="111"/>
  <c r="I12" i="111" s="1"/>
  <c r="I11" i="111"/>
  <c r="J11" i="111" s="1"/>
  <c r="A11" i="111"/>
  <c r="C3" i="111"/>
  <c r="I2" i="111"/>
  <c r="C2" i="111"/>
  <c r="C1" i="111"/>
  <c r="D17" i="112"/>
  <c r="D16" i="112"/>
  <c r="A16" i="112"/>
  <c r="I16" i="112" s="1"/>
  <c r="J16" i="112" s="1"/>
  <c r="I15" i="112"/>
  <c r="J15" i="112" s="1"/>
  <c r="A15" i="112"/>
  <c r="A14" i="112"/>
  <c r="I14" i="112" s="1"/>
  <c r="J14" i="112" s="1"/>
  <c r="I13" i="112"/>
  <c r="J13" i="112" s="1"/>
  <c r="A13" i="112"/>
  <c r="A12" i="112"/>
  <c r="I12" i="112" s="1"/>
  <c r="J12" i="112" s="1"/>
  <c r="I11" i="112"/>
  <c r="J11" i="112" s="1"/>
  <c r="A11" i="112"/>
  <c r="C3" i="112"/>
  <c r="I2" i="112"/>
  <c r="C2" i="112"/>
  <c r="C1" i="112"/>
  <c r="D16" i="113"/>
  <c r="D17" i="113" s="1"/>
  <c r="A16" i="113"/>
  <c r="I16" i="113" s="1"/>
  <c r="J16" i="113" s="1"/>
  <c r="I15" i="113"/>
  <c r="J15" i="113" s="1"/>
  <c r="A15" i="113"/>
  <c r="A14" i="113"/>
  <c r="I14" i="113" s="1"/>
  <c r="J14" i="113" s="1"/>
  <c r="I13" i="113"/>
  <c r="J13" i="113" s="1"/>
  <c r="A13" i="113"/>
  <c r="A12" i="113"/>
  <c r="I12" i="113" s="1"/>
  <c r="J12" i="113" s="1"/>
  <c r="I11" i="113"/>
  <c r="J11" i="113" s="1"/>
  <c r="A11" i="113"/>
  <c r="C3" i="113"/>
  <c r="I2" i="113"/>
  <c r="C2" i="113"/>
  <c r="C1" i="113"/>
  <c r="D16" i="114"/>
  <c r="D17" i="114" s="1"/>
  <c r="A16" i="114"/>
  <c r="I16" i="114" s="1"/>
  <c r="J16" i="114" s="1"/>
  <c r="I15" i="114"/>
  <c r="J15" i="114" s="1"/>
  <c r="A15" i="114"/>
  <c r="A14" i="114"/>
  <c r="I14" i="114" s="1"/>
  <c r="J14" i="114" s="1"/>
  <c r="I13" i="114"/>
  <c r="J13" i="114" s="1"/>
  <c r="A13" i="114"/>
  <c r="A12" i="114"/>
  <c r="I12" i="114" s="1"/>
  <c r="J12" i="114" s="1"/>
  <c r="I11" i="114"/>
  <c r="J11" i="114" s="1"/>
  <c r="A11" i="114"/>
  <c r="C3" i="114"/>
  <c r="I2" i="114"/>
  <c r="C2" i="114"/>
  <c r="C1" i="114"/>
  <c r="D16" i="115"/>
  <c r="D17" i="115" s="1"/>
  <c r="A16" i="115"/>
  <c r="I16" i="115" s="1"/>
  <c r="J16" i="115" s="1"/>
  <c r="I15" i="115"/>
  <c r="J15" i="115" s="1"/>
  <c r="A15" i="115"/>
  <c r="A14" i="115"/>
  <c r="I14" i="115" s="1"/>
  <c r="J14" i="115" s="1"/>
  <c r="I13" i="115"/>
  <c r="J13" i="115" s="1"/>
  <c r="A13" i="115"/>
  <c r="A12" i="115"/>
  <c r="I12" i="115" s="1"/>
  <c r="J12" i="115" s="1"/>
  <c r="I11" i="115"/>
  <c r="J11" i="115" s="1"/>
  <c r="A11" i="115"/>
  <c r="C3" i="115"/>
  <c r="I2" i="115"/>
  <c r="C2" i="115"/>
  <c r="C1" i="115"/>
  <c r="D16" i="116"/>
  <c r="D17" i="116" s="1"/>
  <c r="A16" i="116"/>
  <c r="I16" i="116" s="1"/>
  <c r="J16" i="116" s="1"/>
  <c r="I15" i="116"/>
  <c r="J15" i="116" s="1"/>
  <c r="A15" i="116"/>
  <c r="A14" i="116"/>
  <c r="I14" i="116" s="1"/>
  <c r="J14" i="116" s="1"/>
  <c r="I13" i="116"/>
  <c r="J13" i="116" s="1"/>
  <c r="A13" i="116"/>
  <c r="A12" i="116"/>
  <c r="I12" i="116" s="1"/>
  <c r="J12" i="116" s="1"/>
  <c r="I11" i="116"/>
  <c r="J11" i="116" s="1"/>
  <c r="A11" i="116"/>
  <c r="C3" i="116"/>
  <c r="I2" i="116"/>
  <c r="C2" i="116"/>
  <c r="C1" i="116"/>
  <c r="D17" i="117"/>
  <c r="D16" i="117"/>
  <c r="A16" i="117"/>
  <c r="I16" i="117" s="1"/>
  <c r="J16" i="117" s="1"/>
  <c r="I15" i="117"/>
  <c r="J15" i="117" s="1"/>
  <c r="A15" i="117"/>
  <c r="J14" i="117"/>
  <c r="A14" i="117"/>
  <c r="I14" i="117" s="1"/>
  <c r="I13" i="117"/>
  <c r="J13" i="117" s="1"/>
  <c r="A13" i="117"/>
  <c r="J12" i="117"/>
  <c r="A12" i="117"/>
  <c r="I12" i="117" s="1"/>
  <c r="I11" i="117"/>
  <c r="J11" i="117" s="1"/>
  <c r="A11" i="117"/>
  <c r="C3" i="117"/>
  <c r="I2" i="117"/>
  <c r="C2" i="117"/>
  <c r="C1" i="117"/>
  <c r="D17" i="118"/>
  <c r="D16" i="118"/>
  <c r="A16" i="118"/>
  <c r="I16" i="118" s="1"/>
  <c r="J16" i="118" s="1"/>
  <c r="I15" i="118"/>
  <c r="J15" i="118" s="1"/>
  <c r="A15" i="118"/>
  <c r="A14" i="118"/>
  <c r="I14" i="118" s="1"/>
  <c r="J14" i="118" s="1"/>
  <c r="I13" i="118"/>
  <c r="J13" i="118" s="1"/>
  <c r="A13" i="118"/>
  <c r="A12" i="118"/>
  <c r="I12" i="118" s="1"/>
  <c r="J12" i="118" s="1"/>
  <c r="I11" i="118"/>
  <c r="J11" i="118" s="1"/>
  <c r="A11" i="118"/>
  <c r="C3" i="118"/>
  <c r="I2" i="118"/>
  <c r="C2" i="118"/>
  <c r="C1" i="118"/>
  <c r="D16" i="108"/>
  <c r="D17" i="108" s="1"/>
  <c r="A16" i="108"/>
  <c r="I16" i="108" s="1"/>
  <c r="J16" i="108" s="1"/>
  <c r="I15" i="108"/>
  <c r="J15" i="108" s="1"/>
  <c r="A15" i="108"/>
  <c r="A14" i="108"/>
  <c r="I14" i="108" s="1"/>
  <c r="J14" i="108" s="1"/>
  <c r="I13" i="108"/>
  <c r="J13" i="108" s="1"/>
  <c r="A13" i="108"/>
  <c r="A12" i="108"/>
  <c r="I12" i="108" s="1"/>
  <c r="J12" i="108" s="1"/>
  <c r="I11" i="108"/>
  <c r="J11" i="108" s="1"/>
  <c r="A11" i="108"/>
  <c r="C3" i="108"/>
  <c r="I2" i="108"/>
  <c r="C2" i="108"/>
  <c r="C1" i="108"/>
  <c r="J17" i="108" l="1"/>
  <c r="J17" i="117"/>
  <c r="J17" i="115"/>
  <c r="F14" i="56" s="1"/>
  <c r="J17" i="113"/>
  <c r="F12" i="56" s="1"/>
  <c r="J17" i="111"/>
  <c r="J17" i="110"/>
  <c r="F9" i="56" s="1"/>
  <c r="J17" i="109"/>
  <c r="F8" i="56" s="1"/>
  <c r="J17" i="118"/>
  <c r="J17" i="116"/>
  <c r="F15" i="56" s="1"/>
  <c r="J17" i="114"/>
  <c r="F13" i="56" s="1"/>
  <c r="J17" i="112"/>
  <c r="F11" i="56" s="1"/>
  <c r="J2" i="1"/>
  <c r="D2" i="56"/>
  <c r="F17" i="56"/>
  <c r="F16" i="56"/>
  <c r="F10" i="56"/>
  <c r="F7" i="56"/>
  <c r="E17" i="56"/>
  <c r="E16" i="56"/>
  <c r="E15" i="56"/>
  <c r="E14" i="56"/>
  <c r="E13" i="56"/>
  <c r="E12" i="56"/>
  <c r="E11" i="56"/>
  <c r="E10" i="56"/>
  <c r="E9" i="56"/>
  <c r="E8" i="56"/>
  <c r="E7" i="56"/>
  <c r="D17" i="56"/>
  <c r="D16" i="56"/>
  <c r="D15" i="56"/>
  <c r="D14" i="56"/>
  <c r="D13" i="56"/>
  <c r="D12" i="56"/>
  <c r="D11" i="56"/>
  <c r="D10" i="56"/>
  <c r="D9" i="56"/>
  <c r="D8" i="56"/>
  <c r="D7" i="56"/>
  <c r="C17" i="56"/>
  <c r="C16" i="56"/>
  <c r="C15" i="56"/>
  <c r="C14" i="56"/>
  <c r="C13" i="56"/>
  <c r="C12" i="56"/>
  <c r="C11" i="56"/>
  <c r="C10" i="56"/>
  <c r="C9" i="56"/>
  <c r="C8" i="56"/>
  <c r="C7" i="56"/>
  <c r="B17" i="56"/>
  <c r="G17" i="56" s="1"/>
  <c r="B16" i="56"/>
  <c r="H16" i="56" s="1"/>
  <c r="B15" i="56"/>
  <c r="B14" i="56"/>
  <c r="B13" i="56"/>
  <c r="G13" i="56" s="1"/>
  <c r="B12" i="56"/>
  <c r="B11" i="56"/>
  <c r="B10" i="56"/>
  <c r="B9" i="56"/>
  <c r="G9" i="56" s="1"/>
  <c r="B8" i="56"/>
  <c r="B7" i="56"/>
  <c r="H7" i="56" s="1"/>
  <c r="B6" i="56"/>
  <c r="H10" i="56" l="1"/>
  <c r="H15" i="56"/>
  <c r="H12" i="56"/>
  <c r="H11" i="56"/>
  <c r="H14" i="56"/>
  <c r="H8" i="56"/>
  <c r="J2" i="109"/>
  <c r="J2" i="110"/>
  <c r="J2" i="111"/>
  <c r="J2" i="112"/>
  <c r="J2" i="113"/>
  <c r="J2" i="114"/>
  <c r="J2" i="115"/>
  <c r="J2" i="116"/>
  <c r="J2" i="117"/>
  <c r="J2" i="118"/>
  <c r="J2" i="108"/>
  <c r="H17" i="56"/>
  <c r="H13" i="56"/>
  <c r="H9" i="56"/>
  <c r="G16" i="56"/>
  <c r="G15" i="56"/>
  <c r="G14" i="56"/>
  <c r="G12" i="56"/>
  <c r="G11" i="56"/>
  <c r="G10" i="56"/>
  <c r="G8" i="56"/>
  <c r="G7" i="56"/>
  <c r="B5" i="56" l="1"/>
  <c r="A2" i="56" l="1"/>
  <c r="I2" i="4"/>
  <c r="J2" i="4" l="1"/>
  <c r="C6" i="56" l="1"/>
  <c r="C5" i="56"/>
  <c r="D6" i="56"/>
  <c r="D5" i="56"/>
  <c r="E6" i="56"/>
  <c r="E5" i="56"/>
  <c r="C9" i="1"/>
  <c r="C10" i="1"/>
  <c r="C8" i="1"/>
  <c r="I13" i="1"/>
  <c r="I14" i="1"/>
  <c r="I15" i="1"/>
  <c r="I16" i="1"/>
  <c r="I17" i="1"/>
  <c r="D16" i="4" l="1"/>
  <c r="C3" i="4" l="1"/>
  <c r="D18" i="1"/>
  <c r="G5" i="56"/>
  <c r="C2" i="4" l="1"/>
  <c r="C1" i="4"/>
  <c r="D1" i="56"/>
  <c r="D17" i="4" l="1"/>
  <c r="A16" i="4"/>
  <c r="I16" i="4" s="1"/>
  <c r="A15" i="4"/>
  <c r="A14" i="4"/>
  <c r="A13" i="4"/>
  <c r="A12" i="4"/>
  <c r="A11" i="4"/>
  <c r="I12" i="4" l="1"/>
  <c r="J12" i="4" s="1"/>
  <c r="I14" i="4"/>
  <c r="J14" i="4" s="1"/>
  <c r="I11" i="4"/>
  <c r="J11" i="4" s="1"/>
  <c r="I13" i="4"/>
  <c r="J13" i="4" s="1"/>
  <c r="I15" i="4"/>
  <c r="J15" i="4" s="1"/>
  <c r="J16" i="4"/>
  <c r="G6" i="56"/>
  <c r="J17" i="4" l="1"/>
  <c r="F6" i="56" s="1"/>
  <c r="H6" i="56" s="1"/>
  <c r="D19" i="1" l="1"/>
  <c r="A14" i="1"/>
  <c r="J14" i="1" s="1"/>
  <c r="A15" i="1"/>
  <c r="J15" i="1" s="1"/>
  <c r="A16" i="1"/>
  <c r="A17" i="1"/>
  <c r="A18" i="1"/>
  <c r="I18" i="1" s="1"/>
  <c r="A13" i="1"/>
  <c r="J18" i="1" l="1"/>
  <c r="J17" i="1"/>
  <c r="J13" i="1"/>
  <c r="J16" i="1"/>
  <c r="J19" i="1" l="1"/>
  <c r="F5" i="56" l="1"/>
  <c r="H5" i="56" s="1"/>
</calcChain>
</file>

<file path=xl/comments1.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2" authorId="0" shapeId="0">
      <text>
        <r>
          <rPr>
            <sz val="11"/>
            <color theme="1"/>
            <rFont val="Calibri"/>
            <family val="2"/>
            <scheme val="minor"/>
          </rPr>
          <t>Definición clara y concisa de lo que se va a medir (no necesario incluir el Umbral de consecución)</t>
        </r>
      </text>
    </comment>
    <comment ref="C12"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2" authorId="2" shapeId="0">
      <text>
        <r>
          <rPr>
            <sz val="11"/>
            <color theme="1"/>
            <rFont val="Calibri"/>
            <family val="2"/>
            <scheme val="minor"/>
          </rPr>
          <t>Considerar los límites mínimos y máximos de ponderación para cada objetivo que se establecen en el Manual de Evaluación del Desempeño</t>
        </r>
      </text>
    </comment>
    <comment ref="E12"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2"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2"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2"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2.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0" authorId="0" shapeId="0">
      <text>
        <r>
          <rPr>
            <sz val="11"/>
            <color theme="1"/>
            <rFont val="Calibri"/>
            <family val="2"/>
            <scheme val="minor"/>
          </rPr>
          <t>Definición clara y concisa de lo que se va a medir (no necesario incluir el Umbral de consecución)</t>
        </r>
      </text>
    </comment>
    <comment ref="C10"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0" authorId="2" shapeId="0">
      <text>
        <r>
          <rPr>
            <sz val="11"/>
            <color theme="1"/>
            <rFont val="Calibri"/>
            <family val="2"/>
            <scheme val="minor"/>
          </rPr>
          <t>Considerar los límites mínimos y máximos de ponderación para cada objetivo que se establecen en el Manual de Evaluación del Desempeño</t>
        </r>
      </text>
    </comment>
    <comment ref="E10"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0"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0"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0"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3.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0" authorId="0" shapeId="0">
      <text>
        <r>
          <rPr>
            <sz val="11"/>
            <color theme="1"/>
            <rFont val="Calibri"/>
            <family val="2"/>
            <scheme val="minor"/>
          </rPr>
          <t>Definición clara y concisa de lo que se va a medir (no necesario incluir el Umbral de consecución)</t>
        </r>
      </text>
    </comment>
    <comment ref="C10"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0" authorId="2" shapeId="0">
      <text>
        <r>
          <rPr>
            <sz val="11"/>
            <color theme="1"/>
            <rFont val="Calibri"/>
            <family val="2"/>
            <scheme val="minor"/>
          </rPr>
          <t>Considerar los límites mínimos y máximos de ponderación para cada objetivo que se establecen en el Manual de Evaluación del Desempeño</t>
        </r>
      </text>
    </comment>
    <comment ref="E10"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0"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0"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0"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4.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0" authorId="0" shapeId="0">
      <text>
        <r>
          <rPr>
            <sz val="11"/>
            <color theme="1"/>
            <rFont val="Calibri"/>
            <family val="2"/>
            <scheme val="minor"/>
          </rPr>
          <t>Definición clara y concisa de lo que se va a medir (no necesario incluir el Umbral de consecución)</t>
        </r>
      </text>
    </comment>
    <comment ref="C10"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0" authorId="2" shapeId="0">
      <text>
        <r>
          <rPr>
            <sz val="11"/>
            <color theme="1"/>
            <rFont val="Calibri"/>
            <family val="2"/>
            <scheme val="minor"/>
          </rPr>
          <t>Considerar los límites mínimos y máximos de ponderación para cada objetivo que se establecen en el Manual de Evaluación del Desempeño</t>
        </r>
      </text>
    </comment>
    <comment ref="E10"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0"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0"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0"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5.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0" authorId="0" shapeId="0">
      <text>
        <r>
          <rPr>
            <sz val="11"/>
            <color theme="1"/>
            <rFont val="Calibri"/>
            <family val="2"/>
            <scheme val="minor"/>
          </rPr>
          <t>Definición clara y concisa de lo que se va a medir (no necesario incluir el Umbral de consecución)</t>
        </r>
      </text>
    </comment>
    <comment ref="C10"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0" authorId="2" shapeId="0">
      <text>
        <r>
          <rPr>
            <sz val="11"/>
            <color theme="1"/>
            <rFont val="Calibri"/>
            <family val="2"/>
            <scheme val="minor"/>
          </rPr>
          <t>Considerar los límites mínimos y máximos de ponderación para cada objetivo que se establecen en el Manual de Evaluación del Desempeño</t>
        </r>
      </text>
    </comment>
    <comment ref="E10"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0"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0"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0"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6.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0" authorId="0" shapeId="0">
      <text>
        <r>
          <rPr>
            <sz val="11"/>
            <color theme="1"/>
            <rFont val="Calibri"/>
            <family val="2"/>
            <scheme val="minor"/>
          </rPr>
          <t>Definición clara y concisa de lo que se va a medir (no necesario incluir el Umbral de consecución)</t>
        </r>
      </text>
    </comment>
    <comment ref="C10"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0" authorId="2" shapeId="0">
      <text>
        <r>
          <rPr>
            <sz val="11"/>
            <color theme="1"/>
            <rFont val="Calibri"/>
            <family val="2"/>
            <scheme val="minor"/>
          </rPr>
          <t>Considerar los límites mínimos y máximos de ponderación para cada objetivo que se establecen en el Manual de Evaluación del Desempeño</t>
        </r>
      </text>
    </comment>
    <comment ref="E10"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0"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0"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0"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7.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0" authorId="0" shapeId="0">
      <text>
        <r>
          <rPr>
            <sz val="11"/>
            <color theme="1"/>
            <rFont val="Calibri"/>
            <family val="2"/>
            <scheme val="minor"/>
          </rPr>
          <t>Definición clara y concisa de lo que se va a medir (no necesario incluir el Umbral de consecución)</t>
        </r>
      </text>
    </comment>
    <comment ref="C10"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0" authorId="2" shapeId="0">
      <text>
        <r>
          <rPr>
            <sz val="11"/>
            <color theme="1"/>
            <rFont val="Calibri"/>
            <family val="2"/>
            <scheme val="minor"/>
          </rPr>
          <t>Considerar los límites mínimos y máximos de ponderación para cada objetivo que se establecen en el Manual de Evaluación del Desempeño</t>
        </r>
      </text>
    </comment>
    <comment ref="E10"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0"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0"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0"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8.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0" authorId="0" shapeId="0">
      <text>
        <r>
          <rPr>
            <sz val="11"/>
            <color theme="1"/>
            <rFont val="Calibri"/>
            <family val="2"/>
            <scheme val="minor"/>
          </rPr>
          <t>Definición clara y concisa de lo que se va a medir (no necesario incluir el Umbral de consecución)</t>
        </r>
      </text>
    </comment>
    <comment ref="C10"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0" authorId="2" shapeId="0">
      <text>
        <r>
          <rPr>
            <sz val="11"/>
            <color theme="1"/>
            <rFont val="Calibri"/>
            <family val="2"/>
            <scheme val="minor"/>
          </rPr>
          <t>Considerar los límites mínimos y máximos de ponderación para cada objetivo que se establecen en el Manual de Evaluación del Desempeño</t>
        </r>
      </text>
    </comment>
    <comment ref="E10"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0"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0"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0"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9.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0" authorId="0" shapeId="0">
      <text>
        <r>
          <rPr>
            <sz val="11"/>
            <color theme="1"/>
            <rFont val="Calibri"/>
            <family val="2"/>
            <scheme val="minor"/>
          </rPr>
          <t>Definición clara y concisa de lo que se va a medir (no necesario incluir el Umbral de consecución)</t>
        </r>
      </text>
    </comment>
    <comment ref="C10"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0" authorId="2" shapeId="0">
      <text>
        <r>
          <rPr>
            <sz val="11"/>
            <color theme="1"/>
            <rFont val="Calibri"/>
            <family val="2"/>
            <scheme val="minor"/>
          </rPr>
          <t>Considerar los límites mínimos y máximos de ponderación para cada objetivo que se establecen en el Manual de Evaluación del Desempeño</t>
        </r>
      </text>
    </comment>
    <comment ref="E10"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0"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0"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0"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10.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0" authorId="0" shapeId="0">
      <text>
        <r>
          <rPr>
            <sz val="11"/>
            <color theme="1"/>
            <rFont val="Calibri"/>
            <family val="2"/>
            <scheme val="minor"/>
          </rPr>
          <t>Definición clara y concisa de lo que se va a medir (no necesario incluir el Umbral de consecución)</t>
        </r>
      </text>
    </comment>
    <comment ref="C10"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0" authorId="2" shapeId="0">
      <text>
        <r>
          <rPr>
            <sz val="11"/>
            <color theme="1"/>
            <rFont val="Calibri"/>
            <family val="2"/>
            <scheme val="minor"/>
          </rPr>
          <t>Considerar los límites mínimos y máximos de ponderación para cada objetivo que se establecen en el Manual de Evaluación del Desempeño</t>
        </r>
      </text>
    </comment>
    <comment ref="E10"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0"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0"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0"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11.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0" authorId="0" shapeId="0">
      <text>
        <r>
          <rPr>
            <sz val="11"/>
            <color theme="1"/>
            <rFont val="Calibri"/>
            <family val="2"/>
            <scheme val="minor"/>
          </rPr>
          <t>Definición clara y concisa de lo que se va a medir (no necesario incluir el Umbral de consecución)</t>
        </r>
      </text>
    </comment>
    <comment ref="C10"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0" authorId="2" shapeId="0">
      <text>
        <r>
          <rPr>
            <sz val="11"/>
            <color theme="1"/>
            <rFont val="Calibri"/>
            <family val="2"/>
            <scheme val="minor"/>
          </rPr>
          <t>Considerar los límites mínimos y máximos de ponderación para cada objetivo que se establecen en el Manual de Evaluación del Desempeño</t>
        </r>
      </text>
    </comment>
    <comment ref="E10"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0"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0"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0"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12.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0" authorId="0" shapeId="0">
      <text>
        <r>
          <rPr>
            <sz val="11"/>
            <color theme="1"/>
            <rFont val="Calibri"/>
            <family val="2"/>
            <scheme val="minor"/>
          </rPr>
          <t>Definición clara y concisa de lo que se va a medir (no necesario incluir el Umbral de consecución)</t>
        </r>
      </text>
    </comment>
    <comment ref="C10"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0" authorId="2" shapeId="0">
      <text>
        <r>
          <rPr>
            <sz val="11"/>
            <color theme="1"/>
            <rFont val="Calibri"/>
            <family val="2"/>
            <scheme val="minor"/>
          </rPr>
          <t>Considerar los límites mínimos y máximos de ponderación para cada objetivo que se establecen en el Manual de Evaluación del Desempeño</t>
        </r>
      </text>
    </comment>
    <comment ref="E10"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0"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0"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0"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13.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0" authorId="0" shapeId="0">
      <text>
        <r>
          <rPr>
            <sz val="11"/>
            <color theme="1"/>
            <rFont val="Calibri"/>
            <family val="2"/>
            <scheme val="minor"/>
          </rPr>
          <t>Definición clara y concisa de lo que se va a medir (no necesario incluir el Umbral de consecución)</t>
        </r>
      </text>
    </comment>
    <comment ref="C10"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0" authorId="2" shapeId="0">
      <text>
        <r>
          <rPr>
            <sz val="11"/>
            <color theme="1"/>
            <rFont val="Calibri"/>
            <family val="2"/>
            <scheme val="minor"/>
          </rPr>
          <t>Considerar los límites mínimos y máximos de ponderación para cada objetivo que se establecen en el Manual de Evaluación del Desempeño</t>
        </r>
      </text>
    </comment>
    <comment ref="E10"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0"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0"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0"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sharedStrings.xml><?xml version="1.0" encoding="utf-8"?>
<sst xmlns="http://schemas.openxmlformats.org/spreadsheetml/2006/main" count="645" uniqueCount="60">
  <si>
    <t>Supervisor/a</t>
  </si>
  <si>
    <t>ID</t>
  </si>
  <si>
    <t>Puntuación Final</t>
  </si>
  <si>
    <t>Resultado Alcanzado</t>
  </si>
  <si>
    <r>
      <rPr>
        <b/>
        <sz val="8"/>
        <color theme="1"/>
        <rFont val="Arial"/>
        <family val="2"/>
      </rPr>
      <t>Objetivo</t>
    </r>
    <r>
      <rPr>
        <sz val="8"/>
        <color theme="1"/>
        <rFont val="Arial"/>
        <family val="2"/>
      </rPr>
      <t xml:space="preserve"> (Descripción)</t>
    </r>
  </si>
  <si>
    <r>
      <rPr>
        <b/>
        <sz val="8"/>
        <color theme="1"/>
        <rFont val="Arial"/>
        <family val="2"/>
      </rPr>
      <t>Tipo Objetivo</t>
    </r>
    <r>
      <rPr>
        <sz val="8"/>
        <color theme="1"/>
        <rFont val="Arial"/>
        <family val="2"/>
      </rPr>
      <t xml:space="preserve"> (Individual/Colectivo)</t>
    </r>
  </si>
  <si>
    <r>
      <rPr>
        <b/>
        <sz val="8"/>
        <color theme="1"/>
        <rFont val="Arial"/>
        <family val="2"/>
      </rPr>
      <t>Ponderación / Peso Objetivo</t>
    </r>
    <r>
      <rPr>
        <sz val="8"/>
        <color theme="1"/>
        <rFont val="Arial"/>
        <family val="2"/>
      </rPr>
      <t xml:space="preserve"> (%)</t>
    </r>
  </si>
  <si>
    <r>
      <rPr>
        <b/>
        <sz val="8"/>
        <color theme="1"/>
        <rFont val="Arial"/>
        <family val="2"/>
      </rPr>
      <t xml:space="preserve">Umbral </t>
    </r>
    <r>
      <rPr>
        <sz val="8"/>
        <color theme="1"/>
        <rFont val="Arial"/>
        <family val="2"/>
      </rPr>
      <t>(nivel de consecución esperado)</t>
    </r>
  </si>
  <si>
    <r>
      <rPr>
        <b/>
        <sz val="8"/>
        <color theme="1"/>
        <rFont val="Arial"/>
        <family val="2"/>
      </rPr>
      <t>Superación</t>
    </r>
    <r>
      <rPr>
        <sz val="8"/>
        <color theme="1"/>
        <rFont val="Arial"/>
        <family val="2"/>
      </rPr>
      <t xml:space="preserve"> (Alza/Baja)</t>
    </r>
  </si>
  <si>
    <r>
      <rPr>
        <b/>
        <sz val="8"/>
        <color theme="1"/>
        <rFont val="Arial"/>
        <family val="2"/>
      </rPr>
      <t>Superación Umbral</t>
    </r>
    <r>
      <rPr>
        <sz val="8"/>
        <color theme="1"/>
        <rFont val="Arial"/>
        <family val="2"/>
      </rPr>
      <t xml:space="preserve"> (SÍ/NO)</t>
    </r>
  </si>
  <si>
    <t>Total porcentaje asignado</t>
  </si>
  <si>
    <t>Puesto evaluado</t>
  </si>
  <si>
    <r>
      <rPr>
        <b/>
        <sz val="8"/>
        <color theme="1"/>
        <rFont val="Arial"/>
        <family val="2"/>
      </rPr>
      <t>Categoría</t>
    </r>
    <r>
      <rPr>
        <sz val="8"/>
        <color theme="1"/>
        <rFont val="Arial"/>
        <family val="2"/>
      </rPr>
      <t xml:space="preserve"> (Número/Porcentaje)</t>
    </r>
  </si>
  <si>
    <t>Individual</t>
  </si>
  <si>
    <t>Número</t>
  </si>
  <si>
    <t>Alza</t>
  </si>
  <si>
    <t xml:space="preserve">DNI </t>
  </si>
  <si>
    <t>DNI</t>
  </si>
  <si>
    <t>Atender y conversar la totalidad de propuestas de mejora presentadas por el equipo en un plazo máximo de 2 meses desde su presentación.</t>
  </si>
  <si>
    <t>Desarrollo de dos conversaciones individuales de feedback al año con las personas bajo tu responsabilidad y/o con tu responsable directo para llevar a cabo una valoración mutua del desarrollo de la actividad.</t>
  </si>
  <si>
    <t>Presentar los objetivos de desempeño de todo su personal a la Comisión de Garantías de la Evaluación del Desempeño antes del 31 de mayo.</t>
  </si>
  <si>
    <t>Presentar el resultado de evaluación de objetivos de desempeño de todo su personal a la Comisión de Garantías de la Evaluación del Desempeño antes del 1 de septiembre.</t>
  </si>
  <si>
    <t>Programa</t>
  </si>
  <si>
    <t>Supervisor/a Intermedio</t>
  </si>
  <si>
    <t>ROL</t>
  </si>
  <si>
    <r>
      <rPr>
        <b/>
        <sz val="8"/>
        <color theme="1"/>
        <rFont val="Arial"/>
        <family val="2"/>
      </rPr>
      <t xml:space="preserve">Puntuación aportada      </t>
    </r>
    <r>
      <rPr>
        <sz val="8"/>
        <color theme="1"/>
        <rFont val="Arial"/>
        <family val="2"/>
      </rPr>
      <t>(0 - 100)</t>
    </r>
  </si>
  <si>
    <t>Unidad Organizativa</t>
  </si>
  <si>
    <t>Realizar al menos 15 horas de formación "no obligatoria" en el periodo a evaluar, con las consideraciones recogidas en el Reglamento de ED</t>
  </si>
  <si>
    <r>
      <rPr>
        <b/>
        <sz val="8"/>
        <color theme="1"/>
        <rFont val="Arial"/>
        <family val="2"/>
      </rPr>
      <t>Puntuación aportada</t>
    </r>
    <r>
      <rPr>
        <sz val="8"/>
        <color theme="1"/>
        <rFont val="Arial"/>
        <family val="2"/>
      </rPr>
      <t xml:space="preserve">      (0 - 100)</t>
    </r>
  </si>
  <si>
    <r>
      <rPr>
        <i/>
        <sz val="12"/>
        <color theme="1"/>
        <rFont val="Wingdings"/>
        <charset val="2"/>
      </rPr>
      <t></t>
    </r>
    <r>
      <rPr>
        <i/>
        <sz val="12"/>
        <color theme="1"/>
        <rFont val="Calibri"/>
        <family val="2"/>
        <scheme val="minor"/>
      </rPr>
      <t>Nota:</t>
    </r>
    <r>
      <rPr>
        <sz val="12"/>
        <color theme="1"/>
        <rFont val="Calibri"/>
        <family val="2"/>
        <scheme val="minor"/>
      </rPr>
      <t xml:space="preserve"> Valor de la Ponderación / Peso Objetivo (%): </t>
    </r>
  </si>
  <si>
    <r>
      <rPr>
        <sz val="12"/>
        <color theme="1"/>
        <rFont val="Wingdings"/>
        <charset val="2"/>
      </rPr>
      <t xml:space="preserve"> </t>
    </r>
    <r>
      <rPr>
        <sz val="12"/>
        <color theme="1"/>
        <rFont val="Calibri"/>
        <family val="2"/>
        <scheme val="minor"/>
      </rPr>
      <t xml:space="preserve">  El rango de los objetivos está entre 10 y 40. </t>
    </r>
  </si>
  <si>
    <r>
      <rPr>
        <sz val="12"/>
        <color theme="1"/>
        <rFont val="Wingdings"/>
        <charset val="2"/>
      </rPr>
      <t xml:space="preserve"> </t>
    </r>
    <r>
      <rPr>
        <sz val="12"/>
        <color theme="1"/>
        <rFont val="Calibri"/>
        <family val="2"/>
        <scheme val="minor"/>
      </rPr>
      <t xml:space="preserve">  </t>
    </r>
    <r>
      <rPr>
        <sz val="12"/>
        <color theme="1"/>
        <rFont val="Symbol"/>
        <family val="1"/>
        <charset val="2"/>
      </rPr>
      <t xml:space="preserve"> </t>
    </r>
    <r>
      <rPr>
        <sz val="12"/>
        <color theme="1"/>
        <rFont val="Calibri"/>
        <family val="2"/>
        <scheme val="minor"/>
      </rPr>
      <t>Total porcentaje = 100%</t>
    </r>
  </si>
  <si>
    <r>
      <rPr>
        <b/>
        <sz val="8"/>
        <color theme="1"/>
        <rFont val="Arial"/>
        <family val="2"/>
      </rPr>
      <t>Ir a</t>
    </r>
    <r>
      <rPr>
        <sz val="8"/>
        <color theme="1"/>
        <rFont val="Arial"/>
        <family val="2"/>
      </rPr>
      <t xml:space="preserve"> la hoja de cálculo número</t>
    </r>
  </si>
  <si>
    <t>Apellido1</t>
  </si>
  <si>
    <t>Apellido2</t>
  </si>
  <si>
    <t>Nombre</t>
  </si>
  <si>
    <t>Apellido2 Supervisor/a</t>
  </si>
  <si>
    <t>Nombre Supervisor/a</t>
  </si>
  <si>
    <t>Apellido1 Supervisor/a</t>
  </si>
  <si>
    <t>Periodo Evaluado</t>
  </si>
  <si>
    <t xml:space="preserve"> </t>
  </si>
  <si>
    <r>
      <t xml:space="preserve">BOLSA DEL PROGRAMA             </t>
    </r>
    <r>
      <rPr>
        <sz val="8"/>
        <color theme="1"/>
        <rFont val="Arial"/>
        <family val="2"/>
      </rPr>
      <t>(en caso de participación)</t>
    </r>
  </si>
  <si>
    <t>Antes de guardar como PDF o imprimir, filtrar y desmarcar las vacías.</t>
  </si>
  <si>
    <t>SERVICIOS OPERATIVOS</t>
  </si>
  <si>
    <t>ENCARGADOS Y CAPATACES</t>
  </si>
  <si>
    <t>ENCARGADO GENERAL</t>
  </si>
  <si>
    <t>Porcentaje</t>
  </si>
  <si>
    <t>CAPATAZ LIMPIEZA MECANICA</t>
  </si>
  <si>
    <t>ANTONIO</t>
  </si>
  <si>
    <t>Gestión de incidencias presentadas por los Supervisados</t>
  </si>
  <si>
    <t>Gestión de las incidencias presentadas por los supervisados</t>
  </si>
  <si>
    <t>23456789B</t>
  </si>
  <si>
    <t>JEFE</t>
  </si>
  <si>
    <t>JOSE</t>
  </si>
  <si>
    <t>JEFE ADMINISTRACION</t>
  </si>
  <si>
    <t>23456780D</t>
  </si>
  <si>
    <t>ADMIN</t>
  </si>
  <si>
    <t>87654321F</t>
  </si>
  <si>
    <t>MECANICO</t>
  </si>
  <si>
    <t>EDUARDO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</si>
</sst>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8" x14ac:knownFonts="1">
    <font>
      <sz val="11"/>
      <color theme="1"/>
      <name val="Calibri"/>
      <family val="2"/>
      <scheme val="minor"/>
    </font>
    <font>
      <sz val="11"/>
      <color theme="1"/>
      <name val="Calibri"/>
      <family val="2"/>
      <scheme val="minor"/>
    </font>
    <font>
      <b/>
      <sz val="9"/>
      <color theme="1"/>
      <name val="Arial"/>
      <family val="2"/>
    </font>
    <font>
      <sz val="9"/>
      <color theme="1"/>
      <name val="Arial"/>
      <family val="2"/>
    </font>
    <font>
      <sz val="8"/>
      <name val="Calibri"/>
      <family val="2"/>
      <scheme val="minor"/>
    </font>
    <font>
      <sz val="8"/>
      <color theme="1"/>
      <name val="Arial"/>
      <family val="2"/>
    </font>
    <font>
      <b/>
      <sz val="8"/>
      <color theme="1"/>
      <name val="Arial"/>
      <family val="2"/>
    </font>
    <font>
      <u/>
      <sz val="11"/>
      <color theme="10"/>
      <name val="Calibri"/>
      <family val="2"/>
      <scheme val="minor"/>
    </font>
    <font>
      <b/>
      <sz val="11"/>
      <color theme="1"/>
      <name val="Calibri"/>
      <family val="2"/>
      <scheme val="minor"/>
    </font>
    <font>
      <sz val="12"/>
      <color theme="1"/>
      <name val="Calibri"/>
      <family val="2"/>
      <scheme val="minor"/>
    </font>
    <font>
      <i/>
      <sz val="12"/>
      <color theme="1"/>
      <name val="Wingdings"/>
      <charset val="2"/>
    </font>
    <font>
      <i/>
      <sz val="12"/>
      <color theme="1"/>
      <name val="Calibri"/>
      <family val="2"/>
      <scheme val="minor"/>
    </font>
    <font>
      <sz val="12"/>
      <color theme="1"/>
      <name val="Wingdings"/>
      <charset val="2"/>
    </font>
    <font>
      <sz val="12"/>
      <color theme="1"/>
      <name val="Symbol"/>
      <family val="1"/>
      <charset val="2"/>
    </font>
    <font>
      <b/>
      <sz val="12"/>
      <color theme="1"/>
      <name val="Arial"/>
      <family val="2"/>
    </font>
    <font>
      <b/>
      <sz val="11"/>
      <color theme="1"/>
      <name val="Arial"/>
      <family val="2"/>
    </font>
    <font>
      <b/>
      <sz val="14"/>
      <color rgb="FF00B0F0"/>
      <name val="Calibri"/>
      <family val="2"/>
      <scheme val="minor"/>
    </font>
    <font>
      <sz val="9"/>
      <color theme="1"/>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7"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7" fillId="0" borderId="0" applyNumberFormat="0" applyFill="0" applyBorder="0" applyAlignment="0" applyProtection="0"/>
  </cellStyleXfs>
  <cellXfs count="81">
    <xf numFmtId="0" fontId="0" fillId="0" borderId="0" xfId="0"/>
    <xf numFmtId="0" fontId="5" fillId="5" borderId="1" xfId="0" applyFont="1" applyFill="1" applyBorder="1" applyAlignment="1" applyProtection="1">
      <alignment vertical="center" wrapText="1"/>
      <protection locked="0"/>
    </xf>
    <xf numFmtId="0" fontId="5" fillId="5" borderId="1" xfId="0" applyFont="1" applyFill="1" applyBorder="1" applyAlignment="1" applyProtection="1">
      <alignment horizontal="center" vertical="center" wrapText="1"/>
      <protection locked="0"/>
    </xf>
    <xf numFmtId="0" fontId="3" fillId="0" borderId="0" xfId="0" applyFont="1" applyAlignment="1" applyProtection="1">
      <alignment vertical="center" wrapText="1"/>
    </xf>
    <xf numFmtId="0" fontId="3" fillId="0" borderId="0" xfId="0" applyFont="1" applyAlignment="1" applyProtection="1">
      <alignment horizontal="center" vertical="center" wrapText="1"/>
    </xf>
    <xf numFmtId="0" fontId="5" fillId="0" borderId="0" xfId="0" applyFont="1" applyAlignment="1" applyProtection="1">
      <alignment horizontal="center" vertical="center" wrapText="1"/>
    </xf>
    <xf numFmtId="0" fontId="5" fillId="7" borderId="1" xfId="0"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9" fontId="5" fillId="7" borderId="1" xfId="1" applyFont="1" applyFill="1" applyBorder="1" applyAlignment="1" applyProtection="1">
      <alignment horizontal="center" vertical="center" wrapText="1"/>
    </xf>
    <xf numFmtId="1" fontId="5" fillId="7" borderId="1" xfId="0" applyNumberFormat="1" applyFont="1" applyFill="1" applyBorder="1" applyAlignment="1" applyProtection="1">
      <alignment horizontal="center" vertical="center" wrapText="1"/>
    </xf>
    <xf numFmtId="0" fontId="5" fillId="6" borderId="1" xfId="0" applyFont="1" applyFill="1" applyBorder="1" applyAlignment="1" applyProtection="1">
      <alignment horizontal="center" vertical="center" wrapText="1"/>
    </xf>
    <xf numFmtId="0" fontId="5" fillId="0" borderId="0" xfId="0" applyFont="1" applyAlignment="1" applyProtection="1">
      <alignment vertical="center" wrapText="1"/>
    </xf>
    <xf numFmtId="0" fontId="0" fillId="0" borderId="0" xfId="0" applyBorder="1"/>
    <xf numFmtId="0" fontId="14" fillId="0" borderId="0" xfId="0" applyFont="1" applyFill="1" applyBorder="1" applyAlignment="1">
      <alignment vertical="center" wrapText="1"/>
    </xf>
    <xf numFmtId="0" fontId="0" fillId="0" borderId="0" xfId="0" applyFont="1" applyFill="1" applyBorder="1"/>
    <xf numFmtId="0" fontId="0" fillId="0" borderId="0" xfId="0" applyFill="1" applyBorder="1"/>
    <xf numFmtId="0" fontId="9" fillId="0" borderId="0" xfId="0" applyFont="1" applyBorder="1"/>
    <xf numFmtId="0" fontId="0" fillId="4" borderId="0" xfId="0" applyFill="1" applyBorder="1"/>
    <xf numFmtId="0" fontId="6" fillId="8" borderId="1" xfId="0" applyFont="1" applyFill="1" applyBorder="1" applyAlignment="1" applyProtection="1">
      <alignment horizontal="center" vertical="center" wrapText="1"/>
    </xf>
    <xf numFmtId="0" fontId="3" fillId="5" borderId="1" xfId="0" applyFont="1" applyFill="1" applyBorder="1" applyAlignment="1" applyProtection="1">
      <alignment horizontal="center" vertical="center" wrapText="1"/>
      <protection locked="0"/>
    </xf>
    <xf numFmtId="0" fontId="5" fillId="8" borderId="1" xfId="0" applyFont="1" applyFill="1" applyBorder="1" applyAlignment="1" applyProtection="1">
      <alignment horizontal="center" vertical="center" wrapText="1"/>
    </xf>
    <xf numFmtId="0" fontId="5" fillId="5" borderId="5" xfId="0" applyFont="1" applyFill="1" applyBorder="1" applyAlignment="1" applyProtection="1">
      <alignment horizontal="center" vertical="center" wrapText="1"/>
      <protection locked="0"/>
    </xf>
    <xf numFmtId="9" fontId="5" fillId="7" borderId="5" xfId="1" applyFont="1" applyFill="1" applyBorder="1" applyAlignment="1" applyProtection="1">
      <alignment horizontal="center" vertical="center" wrapText="1"/>
    </xf>
    <xf numFmtId="1" fontId="5" fillId="5" borderId="5" xfId="0" applyNumberFormat="1" applyFont="1" applyFill="1" applyBorder="1" applyAlignment="1" applyProtection="1">
      <alignment horizontal="center" vertical="center" wrapText="1"/>
      <protection locked="0"/>
    </xf>
    <xf numFmtId="0" fontId="3" fillId="0" borderId="3" xfId="0" applyFont="1" applyBorder="1" applyAlignment="1" applyProtection="1">
      <alignment vertical="center" wrapText="1"/>
    </xf>
    <xf numFmtId="0" fontId="3" fillId="0" borderId="4" xfId="0" applyFont="1" applyBorder="1" applyAlignment="1" applyProtection="1">
      <alignment vertical="center" wrapText="1"/>
    </xf>
    <xf numFmtId="0" fontId="2" fillId="0" borderId="1" xfId="0" applyFont="1" applyBorder="1" applyAlignment="1" applyProtection="1">
      <alignment horizontal="center" vertical="center" wrapText="1"/>
    </xf>
    <xf numFmtId="0" fontId="2" fillId="0" borderId="2" xfId="0" applyFont="1" applyBorder="1" applyAlignment="1" applyProtection="1">
      <alignment horizontal="center" vertical="center" wrapText="1"/>
    </xf>
    <xf numFmtId="0" fontId="3" fillId="0" borderId="2" xfId="0" applyFont="1" applyBorder="1" applyAlignment="1" applyProtection="1">
      <alignment vertical="center" wrapText="1"/>
    </xf>
    <xf numFmtId="0" fontId="9" fillId="4" borderId="0" xfId="0" applyFont="1" applyFill="1" applyBorder="1"/>
    <xf numFmtId="164" fontId="2" fillId="5" borderId="1" xfId="0" applyNumberFormat="1" applyFont="1" applyFill="1" applyBorder="1" applyAlignment="1" applyProtection="1">
      <alignment horizontal="center" vertical="center" wrapText="1"/>
      <protection locked="0"/>
    </xf>
    <xf numFmtId="0" fontId="0" fillId="0" borderId="0" xfId="0" applyBorder="1" applyProtection="1">
      <protection hidden="1"/>
    </xf>
    <xf numFmtId="164" fontId="2" fillId="9" borderId="1" xfId="0" applyNumberFormat="1" applyFont="1" applyFill="1" applyBorder="1" applyAlignment="1" applyProtection="1">
      <alignment horizontal="center" vertical="center" wrapText="1"/>
      <protection hidden="1"/>
    </xf>
    <xf numFmtId="0" fontId="5" fillId="6" borderId="5" xfId="0" applyFont="1" applyFill="1" applyBorder="1" applyAlignment="1" applyProtection="1">
      <alignment horizontal="center" vertical="center" wrapText="1"/>
      <protection hidden="1"/>
    </xf>
    <xf numFmtId="0" fontId="5" fillId="6" borderId="1" xfId="0" applyFont="1" applyFill="1" applyBorder="1" applyAlignment="1" applyProtection="1">
      <alignment horizontal="center" vertical="center" wrapText="1"/>
      <protection hidden="1"/>
    </xf>
    <xf numFmtId="9" fontId="3" fillId="6" borderId="2" xfId="0" applyNumberFormat="1" applyFont="1" applyFill="1" applyBorder="1" applyAlignment="1" applyProtection="1">
      <alignment horizontal="center" vertical="center" wrapText="1"/>
      <protection hidden="1"/>
    </xf>
    <xf numFmtId="0" fontId="6" fillId="6" borderId="1" xfId="0" applyFont="1" applyFill="1" applyBorder="1" applyAlignment="1" applyProtection="1">
      <alignment horizontal="center" vertical="center" wrapText="1"/>
      <protection hidden="1"/>
    </xf>
    <xf numFmtId="0" fontId="3" fillId="0" borderId="0" xfId="0" applyFont="1" applyAlignment="1" applyProtection="1">
      <alignment vertical="center" wrapText="1"/>
      <protection hidden="1"/>
    </xf>
    <xf numFmtId="0" fontId="2" fillId="0" borderId="2" xfId="0" applyFont="1" applyBorder="1" applyAlignment="1" applyProtection="1">
      <alignment horizontal="center" vertical="center" wrapText="1"/>
      <protection hidden="1"/>
    </xf>
    <xf numFmtId="0" fontId="2" fillId="8" borderId="1" xfId="0" applyFont="1" applyFill="1" applyBorder="1" applyAlignment="1" applyProtection="1">
      <alignment vertical="center" wrapText="1"/>
      <protection hidden="1"/>
    </xf>
    <xf numFmtId="0" fontId="5" fillId="0" borderId="0" xfId="0" applyFont="1" applyBorder="1" applyAlignment="1" applyProtection="1">
      <alignment vertical="center" wrapText="1"/>
      <protection hidden="1"/>
    </xf>
    <xf numFmtId="0" fontId="5" fillId="3" borderId="1" xfId="0" applyFont="1" applyFill="1" applyBorder="1" applyAlignment="1" applyProtection="1">
      <alignment horizontal="left" vertical="center" wrapText="1"/>
      <protection hidden="1"/>
    </xf>
    <xf numFmtId="0" fontId="6" fillId="3" borderId="1" xfId="0" applyFont="1" applyFill="1" applyBorder="1" applyAlignment="1" applyProtection="1">
      <alignment horizontal="center" vertical="center" wrapText="1"/>
      <protection hidden="1"/>
    </xf>
    <xf numFmtId="0" fontId="5" fillId="3" borderId="1" xfId="0" applyFont="1" applyFill="1" applyBorder="1" applyAlignment="1" applyProtection="1">
      <alignment horizontal="center" vertical="center" wrapText="1"/>
      <protection hidden="1"/>
    </xf>
    <xf numFmtId="0" fontId="6" fillId="0" borderId="0" xfId="0" applyFont="1" applyBorder="1" applyAlignment="1" applyProtection="1">
      <alignment horizontal="center" vertical="center" wrapText="1"/>
      <protection hidden="1"/>
    </xf>
    <xf numFmtId="0" fontId="7" fillId="0" borderId="1" xfId="2" applyFill="1" applyBorder="1" applyAlignment="1" applyProtection="1">
      <alignment horizontal="center" vertical="center" wrapText="1"/>
      <protection hidden="1"/>
    </xf>
    <xf numFmtId="0" fontId="5" fillId="0" borderId="1" xfId="0" applyFont="1" applyFill="1" applyBorder="1" applyAlignment="1" applyProtection="1">
      <alignment horizontal="center" vertical="center" wrapText="1"/>
      <protection hidden="1"/>
    </xf>
    <xf numFmtId="0" fontId="5" fillId="0" borderId="0" xfId="0" applyFont="1" applyBorder="1" applyAlignment="1" applyProtection="1">
      <alignment horizontal="center" vertical="center" wrapText="1"/>
      <protection hidden="1"/>
    </xf>
    <xf numFmtId="0" fontId="16" fillId="0" borderId="0" xfId="0" applyFont="1" applyBorder="1"/>
    <xf numFmtId="9" fontId="5" fillId="7" borderId="1" xfId="1" applyFont="1" applyFill="1" applyBorder="1" applyAlignment="1" applyProtection="1">
      <alignment horizontal="center" vertical="center" wrapText="1"/>
      <protection hidden="1"/>
    </xf>
    <xf numFmtId="9" fontId="3" fillId="6" borderId="3" xfId="0" applyNumberFormat="1" applyFont="1" applyFill="1" applyBorder="1" applyAlignment="1" applyProtection="1">
      <alignment horizontal="center" vertical="center" wrapText="1"/>
      <protection hidden="1"/>
    </xf>
    <xf numFmtId="0" fontId="5" fillId="8" borderId="1" xfId="0" applyFont="1" applyFill="1" applyBorder="1" applyAlignment="1" applyProtection="1">
      <alignment horizontal="center" vertical="center" wrapText="1"/>
      <protection hidden="1"/>
    </xf>
    <xf numFmtId="0" fontId="5" fillId="8" borderId="5" xfId="0" applyFont="1" applyFill="1" applyBorder="1" applyAlignment="1" applyProtection="1">
      <alignment horizontal="center" vertical="center" wrapText="1"/>
      <protection hidden="1"/>
    </xf>
    <xf numFmtId="0" fontId="5" fillId="0" borderId="1" xfId="0" applyFont="1" applyFill="1" applyBorder="1" applyAlignment="1" applyProtection="1">
      <alignment horizontal="left" vertical="center" wrapText="1"/>
      <protection hidden="1"/>
    </xf>
    <xf numFmtId="3" fontId="5" fillId="5" borderId="1" xfId="0" applyNumberFormat="1" applyFont="1" applyFill="1" applyBorder="1" applyAlignment="1" applyProtection="1">
      <alignment horizontal="center" vertical="center" wrapText="1"/>
      <protection locked="0"/>
    </xf>
    <xf numFmtId="3" fontId="5" fillId="5" borderId="5" xfId="0" applyNumberFormat="1" applyFont="1" applyFill="1" applyBorder="1" applyAlignment="1" applyProtection="1">
      <alignment horizontal="center" vertical="center" wrapText="1"/>
      <protection locked="0"/>
    </xf>
    <xf numFmtId="0" fontId="17" fillId="0" borderId="1" xfId="0" applyFont="1" applyBorder="1" applyAlignment="1" applyProtection="1">
      <alignment horizontal="center" vertical="center"/>
      <protection locked="0"/>
    </xf>
    <xf numFmtId="0" fontId="3" fillId="0" borderId="1" xfId="0" applyFont="1" applyFill="1" applyBorder="1" applyAlignment="1" applyProtection="1">
      <alignment horizontal="left" vertical="center" wrapText="1"/>
      <protection hidden="1"/>
    </xf>
    <xf numFmtId="0" fontId="6" fillId="9" borderId="1" xfId="0" applyFont="1" applyFill="1" applyBorder="1" applyAlignment="1" applyProtection="1">
      <alignment horizontal="center" vertical="center" wrapText="1"/>
      <protection hidden="1"/>
    </xf>
    <xf numFmtId="164" fontId="15" fillId="9" borderId="1" xfId="0" applyNumberFormat="1" applyFont="1" applyFill="1" applyBorder="1" applyAlignment="1" applyProtection="1">
      <alignment horizontal="center" vertical="center" wrapText="1"/>
      <protection hidden="1"/>
    </xf>
    <xf numFmtId="0" fontId="6" fillId="9" borderId="3" xfId="0" applyFont="1" applyFill="1" applyBorder="1" applyAlignment="1" applyProtection="1">
      <alignment horizontal="center" vertical="center" wrapText="1"/>
    </xf>
    <xf numFmtId="0" fontId="6" fillId="9" borderId="2" xfId="0" applyFont="1" applyFill="1" applyBorder="1" applyAlignment="1" applyProtection="1">
      <alignment horizontal="center" vertical="center" wrapText="1"/>
    </xf>
    <xf numFmtId="0" fontId="3" fillId="5" borderId="3" xfId="0" applyFont="1" applyFill="1" applyBorder="1" applyAlignment="1" applyProtection="1">
      <alignment horizontal="left" vertical="center" wrapText="1"/>
      <protection locked="0"/>
    </xf>
    <xf numFmtId="0" fontId="3" fillId="5" borderId="4" xfId="0" applyFont="1" applyFill="1" applyBorder="1" applyAlignment="1" applyProtection="1">
      <alignment horizontal="left" vertical="center" wrapText="1"/>
      <protection locked="0"/>
    </xf>
    <xf numFmtId="0" fontId="3" fillId="5" borderId="2" xfId="0" applyFont="1" applyFill="1" applyBorder="1" applyAlignment="1" applyProtection="1">
      <alignment horizontal="left" vertical="center" wrapText="1"/>
      <protection locked="0"/>
    </xf>
    <xf numFmtId="0" fontId="3" fillId="8" borderId="3" xfId="0" applyFont="1" applyFill="1" applyBorder="1" applyAlignment="1" applyProtection="1">
      <alignment horizontal="left" vertical="center" wrapText="1"/>
      <protection hidden="1"/>
    </xf>
    <xf numFmtId="0" fontId="3" fillId="8" borderId="4" xfId="0" applyFont="1" applyFill="1" applyBorder="1" applyAlignment="1" applyProtection="1">
      <alignment horizontal="left" vertical="center" wrapText="1"/>
      <protection hidden="1"/>
    </xf>
    <xf numFmtId="0" fontId="3" fillId="8" borderId="2" xfId="0" applyFont="1" applyFill="1" applyBorder="1" applyAlignment="1" applyProtection="1">
      <alignment horizontal="left" vertical="center" wrapText="1"/>
      <protection hidden="1"/>
    </xf>
    <xf numFmtId="0" fontId="3" fillId="5" borderId="1" xfId="0" applyFont="1" applyFill="1" applyBorder="1" applyAlignment="1" applyProtection="1">
      <alignment horizontal="left" vertical="center" wrapText="1"/>
      <protection locked="0"/>
    </xf>
    <xf numFmtId="0" fontId="3" fillId="2" borderId="1" xfId="0" applyFont="1" applyFill="1" applyBorder="1" applyAlignment="1" applyProtection="1">
      <alignment horizontal="center" vertical="center" wrapText="1"/>
    </xf>
    <xf numFmtId="0" fontId="6" fillId="8" borderId="3" xfId="0" applyFont="1" applyFill="1" applyBorder="1" applyAlignment="1" applyProtection="1">
      <alignment horizontal="left" vertical="center" wrapText="1"/>
    </xf>
    <xf numFmtId="0" fontId="6" fillId="8" borderId="2" xfId="0" applyFont="1" applyFill="1" applyBorder="1" applyAlignment="1" applyProtection="1">
      <alignment horizontal="left" vertical="center" wrapText="1"/>
    </xf>
    <xf numFmtId="0" fontId="2" fillId="8" borderId="1" xfId="0" applyFont="1" applyFill="1" applyBorder="1" applyAlignment="1" applyProtection="1">
      <alignment horizontal="left" vertical="center" wrapText="1"/>
      <protection hidden="1"/>
    </xf>
    <xf numFmtId="0" fontId="2" fillId="8" borderId="1" xfId="0" applyFont="1" applyFill="1" applyBorder="1" applyAlignment="1" applyProtection="1">
      <alignment horizontal="left" vertical="center" wrapText="1"/>
    </xf>
    <xf numFmtId="0" fontId="3" fillId="5" borderId="1" xfId="0" applyFont="1" applyFill="1" applyBorder="1" applyAlignment="1" applyProtection="1">
      <alignment horizontal="left" vertical="center" wrapText="1"/>
      <protection locked="0" hidden="1"/>
    </xf>
    <xf numFmtId="0" fontId="2" fillId="8" borderId="1" xfId="0" applyFont="1" applyFill="1" applyBorder="1" applyAlignment="1" applyProtection="1">
      <alignment horizontal="center" vertical="center" wrapText="1"/>
      <protection hidden="1"/>
    </xf>
    <xf numFmtId="0" fontId="2" fillId="8" borderId="1" xfId="0" applyFont="1" applyFill="1" applyBorder="1" applyAlignment="1" applyProtection="1">
      <alignment horizontal="center" vertical="center" wrapText="1"/>
    </xf>
    <xf numFmtId="0" fontId="3" fillId="2" borderId="3" xfId="0" applyFont="1" applyFill="1" applyBorder="1" applyAlignment="1" applyProtection="1">
      <alignment horizontal="left" vertical="center" wrapText="1"/>
      <protection hidden="1"/>
    </xf>
    <xf numFmtId="0" fontId="3" fillId="2" borderId="4" xfId="0" applyFont="1" applyFill="1" applyBorder="1" applyAlignment="1" applyProtection="1">
      <alignment horizontal="left" vertical="center" wrapText="1"/>
      <protection hidden="1"/>
    </xf>
    <xf numFmtId="0" fontId="3" fillId="2" borderId="2" xfId="0" applyFont="1" applyFill="1" applyBorder="1" applyAlignment="1" applyProtection="1">
      <alignment horizontal="left" vertical="center" wrapText="1"/>
      <protection hidden="1"/>
    </xf>
    <xf numFmtId="0" fontId="3" fillId="2" borderId="1" xfId="0" applyFont="1" applyFill="1" applyBorder="1" applyAlignment="1" applyProtection="1">
      <alignment horizontal="center" vertical="center" wrapText="1"/>
      <protection hidden="1"/>
    </xf>
  </cellXfs>
  <cellStyles count="3">
    <cellStyle name="Hipervínculo" xfId="2" builtinId="8"/>
    <cellStyle name="Normal" xfId="0" builtinId="0"/>
    <cellStyle name="Porcentaje" xfId="1" builtinId="5"/>
  </cellStyles>
  <dxfs count="28">
    <dxf>
      <font>
        <color theme="1"/>
      </font>
      <fill>
        <patternFill>
          <bgColor rgb="FFFF0000"/>
        </patternFill>
      </fill>
    </dxf>
    <dxf>
      <font>
        <color auto="1"/>
      </font>
      <fill>
        <patternFill>
          <bgColor rgb="FFFF5353"/>
        </patternFill>
      </fill>
    </dxf>
    <dxf>
      <font>
        <color theme="1"/>
      </font>
      <fill>
        <patternFill>
          <bgColor rgb="FFFF0000"/>
        </patternFill>
      </fill>
    </dxf>
    <dxf>
      <font>
        <color auto="1"/>
      </font>
      <fill>
        <patternFill>
          <bgColor rgb="FFFF5353"/>
        </patternFill>
      </fill>
    </dxf>
    <dxf>
      <font>
        <color theme="1"/>
      </font>
      <fill>
        <patternFill>
          <bgColor rgb="FFFF0000"/>
        </patternFill>
      </fill>
    </dxf>
    <dxf>
      <font>
        <color auto="1"/>
      </font>
      <fill>
        <patternFill>
          <bgColor rgb="FFFF5353"/>
        </patternFill>
      </fill>
    </dxf>
    <dxf>
      <font>
        <color theme="1"/>
      </font>
      <fill>
        <patternFill>
          <bgColor rgb="FFFF0000"/>
        </patternFill>
      </fill>
    </dxf>
    <dxf>
      <font>
        <color auto="1"/>
      </font>
      <fill>
        <patternFill>
          <bgColor rgb="FFFF5353"/>
        </patternFill>
      </fill>
    </dxf>
    <dxf>
      <font>
        <color theme="1"/>
      </font>
      <fill>
        <patternFill>
          <bgColor rgb="FFFF0000"/>
        </patternFill>
      </fill>
    </dxf>
    <dxf>
      <font>
        <color auto="1"/>
      </font>
      <fill>
        <patternFill>
          <bgColor rgb="FFFF5353"/>
        </patternFill>
      </fill>
    </dxf>
    <dxf>
      <font>
        <color theme="1"/>
      </font>
      <fill>
        <patternFill>
          <bgColor rgb="FFFF0000"/>
        </patternFill>
      </fill>
    </dxf>
    <dxf>
      <font>
        <color auto="1"/>
      </font>
      <fill>
        <patternFill>
          <bgColor rgb="FFFF5353"/>
        </patternFill>
      </fill>
    </dxf>
    <dxf>
      <font>
        <color theme="1"/>
      </font>
      <fill>
        <patternFill>
          <bgColor rgb="FFFF0000"/>
        </patternFill>
      </fill>
    </dxf>
    <dxf>
      <font>
        <color auto="1"/>
      </font>
      <fill>
        <patternFill>
          <bgColor rgb="FFFF5353"/>
        </patternFill>
      </fill>
    </dxf>
    <dxf>
      <font>
        <color theme="1"/>
      </font>
      <fill>
        <patternFill>
          <bgColor rgb="FFFF0000"/>
        </patternFill>
      </fill>
    </dxf>
    <dxf>
      <font>
        <color auto="1"/>
      </font>
      <fill>
        <patternFill>
          <bgColor rgb="FFFF5353"/>
        </patternFill>
      </fill>
    </dxf>
    <dxf>
      <font>
        <color theme="1"/>
      </font>
      <fill>
        <patternFill>
          <bgColor rgb="FFFF0000"/>
        </patternFill>
      </fill>
    </dxf>
    <dxf>
      <font>
        <color auto="1"/>
      </font>
      <fill>
        <patternFill>
          <bgColor rgb="FFFF5353"/>
        </patternFill>
      </fill>
    </dxf>
    <dxf>
      <font>
        <color theme="1"/>
      </font>
      <fill>
        <patternFill>
          <bgColor rgb="FFFF0000"/>
        </patternFill>
      </fill>
    </dxf>
    <dxf>
      <font>
        <color auto="1"/>
      </font>
      <fill>
        <patternFill>
          <bgColor rgb="FFFF5353"/>
        </patternFill>
      </fill>
    </dxf>
    <dxf>
      <font>
        <color theme="1"/>
      </font>
      <fill>
        <patternFill>
          <bgColor rgb="FFFF0000"/>
        </patternFill>
      </fill>
    </dxf>
    <dxf>
      <font>
        <color auto="1"/>
      </font>
      <fill>
        <patternFill>
          <bgColor rgb="FFFF5353"/>
        </patternFill>
      </fill>
    </dxf>
    <dxf>
      <font>
        <color theme="1"/>
      </font>
      <fill>
        <patternFill>
          <bgColor rgb="FFFF0000"/>
        </patternFill>
      </fill>
    </dxf>
    <dxf>
      <font>
        <color auto="1"/>
      </font>
      <fill>
        <patternFill>
          <bgColor rgb="FFFF5353"/>
        </patternFill>
      </fill>
    </dxf>
    <dxf>
      <font>
        <color theme="1"/>
      </font>
      <fill>
        <patternFill>
          <bgColor rgb="FFFF0000"/>
        </patternFill>
      </fill>
    </dxf>
    <dxf>
      <font>
        <color auto="1"/>
      </font>
      <fill>
        <patternFill>
          <bgColor rgb="FFFF5353"/>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53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 Id="rId105"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187327</xdr:colOff>
      <xdr:row>8</xdr:row>
      <xdr:rowOff>30011</xdr:rowOff>
    </xdr:from>
    <xdr:to>
      <xdr:col>12</xdr:col>
      <xdr:colOff>243164</xdr:colOff>
      <xdr:row>30</xdr:row>
      <xdr:rowOff>129541</xdr:rowOff>
    </xdr:to>
    <xdr:pic>
      <xdr:nvPicPr>
        <xdr:cNvPr id="2" name="Imagen 1"/>
        <xdr:cNvPicPr>
          <a:picLocks noChangeAspect="1"/>
        </xdr:cNvPicPr>
      </xdr:nvPicPr>
      <xdr:blipFill>
        <a:blip xmlns:r="http://schemas.openxmlformats.org/officeDocument/2006/relationships" r:embed="rId1"/>
        <a:stretch>
          <a:fillRect/>
        </a:stretch>
      </xdr:blipFill>
      <xdr:spPr>
        <a:xfrm>
          <a:off x="949327" y="1554011"/>
          <a:ext cx="8437837" cy="429053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3</xdr:col>
      <xdr:colOff>423722</xdr:colOff>
      <xdr:row>2</xdr:row>
      <xdr:rowOff>190019</xdr:rowOff>
    </xdr:from>
    <xdr:to>
      <xdr:col>5</xdr:col>
      <xdr:colOff>723901</xdr:colOff>
      <xdr:row>5</xdr:row>
      <xdr:rowOff>60613</xdr:rowOff>
    </xdr:to>
    <xdr:sp macro="" textlink="">
      <xdr:nvSpPr>
        <xdr:cNvPr id="3" name="Rectángulo redondeado 2"/>
        <xdr:cNvSpPr/>
      </xdr:nvSpPr>
      <xdr:spPr>
        <a:xfrm>
          <a:off x="2709722" y="571019"/>
          <a:ext cx="1824179" cy="442094"/>
        </a:xfrm>
        <a:prstGeom prst="roundRect">
          <a:avLst/>
        </a:prstGeom>
        <a:solidFill>
          <a:schemeClr val="accent1">
            <a:lumMod val="40000"/>
            <a:lumOff val="60000"/>
          </a:scheme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0">
              <a:solidFill>
                <a:sysClr val="windowText" lastClr="000000"/>
              </a:solidFill>
              <a:latin typeface="Arial" panose="020B0604020202020204" pitchFamily="34" charset="0"/>
              <a:cs typeface="Arial" panose="020B0604020202020204" pitchFamily="34" charset="0"/>
            </a:rPr>
            <a:t>Hoja: </a:t>
          </a:r>
          <a:r>
            <a:rPr lang="es-ES" sz="1100" b="1">
              <a:solidFill>
                <a:sysClr val="windowText" lastClr="000000"/>
              </a:solidFill>
              <a:latin typeface="Arial" panose="020B0604020202020204" pitchFamily="34" charset="0"/>
              <a:cs typeface="Arial" panose="020B0604020202020204" pitchFamily="34" charset="0"/>
            </a:rPr>
            <a:t>SUPERVISOR/A</a:t>
          </a:r>
        </a:p>
      </xdr:txBody>
    </xdr:sp>
    <xdr:clientData/>
  </xdr:twoCellAnchor>
  <xdr:twoCellAnchor>
    <xdr:from>
      <xdr:col>12</xdr:col>
      <xdr:colOff>288477</xdr:colOff>
      <xdr:row>9</xdr:row>
      <xdr:rowOff>40312</xdr:rowOff>
    </xdr:from>
    <xdr:to>
      <xdr:col>12</xdr:col>
      <xdr:colOff>431352</xdr:colOff>
      <xdr:row>13</xdr:row>
      <xdr:rowOff>131329</xdr:rowOff>
    </xdr:to>
    <xdr:sp macro="" textlink="">
      <xdr:nvSpPr>
        <xdr:cNvPr id="4" name="Cerrar llave 3"/>
        <xdr:cNvSpPr/>
      </xdr:nvSpPr>
      <xdr:spPr>
        <a:xfrm>
          <a:off x="9432477" y="1754812"/>
          <a:ext cx="142875" cy="853017"/>
        </a:xfrm>
        <a:prstGeom prst="rightBrace">
          <a:avLst>
            <a:gd name="adj1" fmla="val 54166"/>
            <a:gd name="adj2" fmla="val 50613"/>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s-ES" sz="1100"/>
        </a:p>
      </xdr:txBody>
    </xdr:sp>
    <xdr:clientData/>
  </xdr:twoCellAnchor>
  <xdr:twoCellAnchor>
    <xdr:from>
      <xdr:col>12</xdr:col>
      <xdr:colOff>367393</xdr:colOff>
      <xdr:row>5</xdr:row>
      <xdr:rowOff>83292</xdr:rowOff>
    </xdr:from>
    <xdr:to>
      <xdr:col>13</xdr:col>
      <xdr:colOff>666750</xdr:colOff>
      <xdr:row>9</xdr:row>
      <xdr:rowOff>149679</xdr:rowOff>
    </xdr:to>
    <xdr:sp macro="" textlink="">
      <xdr:nvSpPr>
        <xdr:cNvPr id="5" name="Rectángulo redondeado 4"/>
        <xdr:cNvSpPr/>
      </xdr:nvSpPr>
      <xdr:spPr>
        <a:xfrm>
          <a:off x="9511393" y="1035792"/>
          <a:ext cx="1061357" cy="828387"/>
        </a:xfrm>
        <a:prstGeom prst="roundRect">
          <a:avLst/>
        </a:prstGeom>
        <a:solidFill>
          <a:schemeClr val="bg1">
            <a:lumMod val="9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ES" sz="1100">
              <a:solidFill>
                <a:sysClr val="windowText" lastClr="000000"/>
              </a:solidFill>
              <a:latin typeface="Arial" panose="020B0604020202020204" pitchFamily="34" charset="0"/>
              <a:cs typeface="Arial" panose="020B0604020202020204" pitchFamily="34" charset="0"/>
            </a:rPr>
            <a:t>Rellenar datos</a:t>
          </a:r>
        </a:p>
        <a:p>
          <a:pPr algn="l"/>
          <a:r>
            <a:rPr lang="es-ES" sz="1100">
              <a:solidFill>
                <a:sysClr val="windowText" lastClr="000000"/>
              </a:solidFill>
              <a:latin typeface="Arial" panose="020B0604020202020204" pitchFamily="34" charset="0"/>
              <a:cs typeface="Arial" panose="020B0604020202020204" pitchFamily="34" charset="0"/>
            </a:rPr>
            <a:t>Supervisor/a</a:t>
          </a:r>
        </a:p>
      </xdr:txBody>
    </xdr:sp>
    <xdr:clientData/>
  </xdr:twoCellAnchor>
  <xdr:twoCellAnchor>
    <xdr:from>
      <xdr:col>10</xdr:col>
      <xdr:colOff>347701</xdr:colOff>
      <xdr:row>32</xdr:row>
      <xdr:rowOff>139111</xdr:rowOff>
    </xdr:from>
    <xdr:to>
      <xdr:col>12</xdr:col>
      <xdr:colOff>89860</xdr:colOff>
      <xdr:row>35</xdr:row>
      <xdr:rowOff>95058</xdr:rowOff>
    </xdr:to>
    <xdr:sp macro="" textlink="">
      <xdr:nvSpPr>
        <xdr:cNvPr id="6" name="Rectángulo redondeado 5"/>
        <xdr:cNvSpPr/>
      </xdr:nvSpPr>
      <xdr:spPr>
        <a:xfrm>
          <a:off x="7967701" y="6235111"/>
          <a:ext cx="1266159" cy="527447"/>
        </a:xfrm>
        <a:prstGeom prst="roundRect">
          <a:avLst/>
        </a:prstGeom>
        <a:solidFill>
          <a:schemeClr val="bg1">
            <a:lumMod val="9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s-ES" sz="1100">
              <a:solidFill>
                <a:sysClr val="windowText" lastClr="000000"/>
              </a:solidFill>
              <a:latin typeface="Arial" panose="020B0604020202020204" pitchFamily="34" charset="0"/>
              <a:cs typeface="Arial" panose="020B0604020202020204" pitchFamily="34" charset="0"/>
            </a:rPr>
            <a:t>Rellenar valores numéricos</a:t>
          </a:r>
        </a:p>
      </xdr:txBody>
    </xdr:sp>
    <xdr:clientData/>
  </xdr:twoCellAnchor>
  <xdr:twoCellAnchor>
    <xdr:from>
      <xdr:col>10</xdr:col>
      <xdr:colOff>351560</xdr:colOff>
      <xdr:row>29</xdr:row>
      <xdr:rowOff>58881</xdr:rowOff>
    </xdr:from>
    <xdr:to>
      <xdr:col>10</xdr:col>
      <xdr:colOff>464129</xdr:colOff>
      <xdr:row>32</xdr:row>
      <xdr:rowOff>142009</xdr:rowOff>
    </xdr:to>
    <xdr:cxnSp macro="">
      <xdr:nvCxnSpPr>
        <xdr:cNvPr id="7" name="Conector recto de flecha 6"/>
        <xdr:cNvCxnSpPr/>
      </xdr:nvCxnSpPr>
      <xdr:spPr>
        <a:xfrm flipH="1" flipV="1">
          <a:off x="7971560" y="5583381"/>
          <a:ext cx="112569" cy="654628"/>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95253</xdr:colOff>
      <xdr:row>16</xdr:row>
      <xdr:rowOff>75237</xdr:rowOff>
    </xdr:from>
    <xdr:to>
      <xdr:col>10</xdr:col>
      <xdr:colOff>527053</xdr:colOff>
      <xdr:row>28</xdr:row>
      <xdr:rowOff>123920</xdr:rowOff>
    </xdr:to>
    <xdr:sp macro="" textlink="">
      <xdr:nvSpPr>
        <xdr:cNvPr id="8" name="Rectángulo redondeado 7"/>
        <xdr:cNvSpPr/>
      </xdr:nvSpPr>
      <xdr:spPr>
        <a:xfrm>
          <a:off x="7715253" y="3123237"/>
          <a:ext cx="431800" cy="2334683"/>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259864</xdr:colOff>
      <xdr:row>27</xdr:row>
      <xdr:rowOff>87122</xdr:rowOff>
    </xdr:from>
    <xdr:to>
      <xdr:col>9</xdr:col>
      <xdr:colOff>728787</xdr:colOff>
      <xdr:row>28</xdr:row>
      <xdr:rowOff>139550</xdr:rowOff>
    </xdr:to>
    <xdr:sp macro="" textlink="">
      <xdr:nvSpPr>
        <xdr:cNvPr id="9" name="Rectángulo redondeado 8"/>
        <xdr:cNvSpPr/>
      </xdr:nvSpPr>
      <xdr:spPr>
        <a:xfrm>
          <a:off x="1783864" y="5230622"/>
          <a:ext cx="5802923" cy="242928"/>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24014</xdr:colOff>
      <xdr:row>32</xdr:row>
      <xdr:rowOff>139111</xdr:rowOff>
    </xdr:from>
    <xdr:to>
      <xdr:col>9</xdr:col>
      <xdr:colOff>102515</xdr:colOff>
      <xdr:row>36</xdr:row>
      <xdr:rowOff>132345</xdr:rowOff>
    </xdr:to>
    <xdr:sp macro="" textlink="">
      <xdr:nvSpPr>
        <xdr:cNvPr id="10" name="Rectángulo redondeado 9"/>
        <xdr:cNvSpPr/>
      </xdr:nvSpPr>
      <xdr:spPr>
        <a:xfrm>
          <a:off x="786014" y="6235111"/>
          <a:ext cx="6174501" cy="755234"/>
        </a:xfrm>
        <a:prstGeom prst="roundRect">
          <a:avLst/>
        </a:prstGeom>
        <a:solidFill>
          <a:schemeClr val="bg1">
            <a:lumMod val="9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s-ES" sz="1100">
              <a:solidFill>
                <a:sysClr val="windowText" lastClr="000000"/>
              </a:solidFill>
              <a:latin typeface="Arial" panose="020B0604020202020204" pitchFamily="34" charset="0"/>
              <a:cs typeface="Arial" panose="020B0604020202020204" pitchFamily="34" charset="0"/>
            </a:rPr>
            <a:t>Los </a:t>
          </a:r>
          <a:r>
            <a:rPr lang="es-ES" sz="1100" b="1">
              <a:solidFill>
                <a:sysClr val="windowText" lastClr="000000"/>
              </a:solidFill>
              <a:latin typeface="Arial" panose="020B0604020202020204" pitchFamily="34" charset="0"/>
              <a:cs typeface="Arial" panose="020B0604020202020204" pitchFamily="34" charset="0"/>
            </a:rPr>
            <a:t>supervisores</a:t>
          </a:r>
          <a:r>
            <a:rPr lang="es-ES" sz="1100">
              <a:solidFill>
                <a:sysClr val="windowText" lastClr="000000"/>
              </a:solidFill>
              <a:latin typeface="Arial" panose="020B0604020202020204" pitchFamily="34" charset="0"/>
              <a:cs typeface="Arial" panose="020B0604020202020204" pitchFamily="34" charset="0"/>
            </a:rPr>
            <a:t> y los </a:t>
          </a:r>
          <a:r>
            <a:rPr lang="es-ES" sz="1100" b="1">
              <a:solidFill>
                <a:sysClr val="windowText" lastClr="000000"/>
              </a:solidFill>
              <a:latin typeface="Arial" panose="020B0604020202020204" pitchFamily="34" charset="0"/>
              <a:cs typeface="Arial" panose="020B0604020202020204" pitchFamily="34" charset="0"/>
            </a:rPr>
            <a:t>supervisores intermedios </a:t>
          </a:r>
          <a:r>
            <a:rPr lang="es-ES" sz="1100">
              <a:solidFill>
                <a:sysClr val="windowText" lastClr="000000"/>
              </a:solidFill>
              <a:latin typeface="Arial" panose="020B0604020202020204" pitchFamily="34" charset="0"/>
              <a:cs typeface="Arial" panose="020B0604020202020204" pitchFamily="34" charset="0"/>
            </a:rPr>
            <a:t>tienen 5 objetivos ya fijados</a:t>
          </a:r>
        </a:p>
        <a:p>
          <a:pPr algn="l"/>
          <a:r>
            <a:rPr lang="es-ES" sz="1100">
              <a:solidFill>
                <a:sysClr val="windowText" lastClr="000000"/>
              </a:solidFill>
              <a:latin typeface="Arial" panose="020B0604020202020204" pitchFamily="34" charset="0"/>
              <a:cs typeface="Arial" panose="020B0604020202020204" pitchFamily="34" charset="0"/>
            </a:rPr>
            <a:t>(página 23 del "Reglamento de la ED")</a:t>
          </a:r>
        </a:p>
        <a:p>
          <a:pPr algn="l"/>
          <a:r>
            <a:rPr lang="es-ES" sz="1100">
              <a:solidFill>
                <a:sysClr val="windowText" lastClr="000000"/>
              </a:solidFill>
              <a:latin typeface="Arial" panose="020B0604020202020204" pitchFamily="34" charset="0"/>
              <a:cs typeface="Arial" panose="020B0604020202020204" pitchFamily="34" charset="0"/>
            </a:rPr>
            <a:t>Por lo tanto, únicamente queda un objetivo por incorporar, que representa el 16 %.</a:t>
          </a:r>
        </a:p>
      </xdr:txBody>
    </xdr:sp>
    <xdr:clientData/>
  </xdr:twoCellAnchor>
  <xdr:twoCellAnchor>
    <xdr:from>
      <xdr:col>4</xdr:col>
      <xdr:colOff>205096</xdr:colOff>
      <xdr:row>28</xdr:row>
      <xdr:rowOff>85820</xdr:rowOff>
    </xdr:from>
    <xdr:to>
      <xdr:col>5</xdr:col>
      <xdr:colOff>330872</xdr:colOff>
      <xdr:row>32</xdr:row>
      <xdr:rowOff>139111</xdr:rowOff>
    </xdr:to>
    <xdr:cxnSp macro="">
      <xdr:nvCxnSpPr>
        <xdr:cNvPr id="11" name="Conector recto de flecha 10"/>
        <xdr:cNvCxnSpPr>
          <a:stCxn id="10" idx="0"/>
        </xdr:cNvCxnSpPr>
      </xdr:nvCxnSpPr>
      <xdr:spPr>
        <a:xfrm flipH="1" flipV="1">
          <a:off x="3253096" y="5419820"/>
          <a:ext cx="887776" cy="815291"/>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472788</xdr:colOff>
      <xdr:row>9</xdr:row>
      <xdr:rowOff>108857</xdr:rowOff>
    </xdr:from>
    <xdr:to>
      <xdr:col>12</xdr:col>
      <xdr:colOff>653143</xdr:colOff>
      <xdr:row>10</xdr:row>
      <xdr:rowOff>122382</xdr:rowOff>
    </xdr:to>
    <xdr:cxnSp macro="">
      <xdr:nvCxnSpPr>
        <xdr:cNvPr id="12" name="Conector recto de flecha 11"/>
        <xdr:cNvCxnSpPr/>
      </xdr:nvCxnSpPr>
      <xdr:spPr>
        <a:xfrm flipH="1">
          <a:off x="9616788" y="1823357"/>
          <a:ext cx="180355" cy="204025"/>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xdr:row>
      <xdr:rowOff>0</xdr:rowOff>
    </xdr:from>
    <xdr:to>
      <xdr:col>3</xdr:col>
      <xdr:colOff>117764</xdr:colOff>
      <xdr:row>5</xdr:row>
      <xdr:rowOff>60613</xdr:rowOff>
    </xdr:to>
    <xdr:grpSp>
      <xdr:nvGrpSpPr>
        <xdr:cNvPr id="13" name="Grupo 12"/>
        <xdr:cNvGrpSpPr/>
      </xdr:nvGrpSpPr>
      <xdr:grpSpPr>
        <a:xfrm>
          <a:off x="154781" y="71438"/>
          <a:ext cx="1094077" cy="822613"/>
          <a:chOff x="11473295" y="164523"/>
          <a:chExt cx="1108364" cy="822613"/>
        </a:xfrm>
      </xdr:grpSpPr>
      <xdr:sp macro="" textlink="">
        <xdr:nvSpPr>
          <xdr:cNvPr id="14" name="Rectángulo redondeado 13"/>
          <xdr:cNvSpPr/>
        </xdr:nvSpPr>
        <xdr:spPr>
          <a:xfrm>
            <a:off x="11473295" y="467591"/>
            <a:ext cx="1108364" cy="519545"/>
          </a:xfrm>
          <a:prstGeom prst="round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a:solidFill>
                  <a:sysClr val="windowText" lastClr="000000"/>
                </a:solidFill>
              </a:rPr>
              <a:t>Herramienta</a:t>
            </a:r>
          </a:p>
          <a:p>
            <a:pPr algn="ctr"/>
            <a:r>
              <a:rPr lang="es-ES" sz="1100" b="1">
                <a:solidFill>
                  <a:srgbClr val="00B050"/>
                </a:solidFill>
                <a:latin typeface="Arial" panose="020B0604020202020204" pitchFamily="34" charset="0"/>
                <a:cs typeface="Arial" panose="020B0604020202020204" pitchFamily="34" charset="0"/>
              </a:rPr>
              <a:t>OBJETIVOS</a:t>
            </a:r>
          </a:p>
        </xdr:txBody>
      </xdr:sp>
      <xdr:sp macro="" textlink="">
        <xdr:nvSpPr>
          <xdr:cNvPr id="15" name="Elipse 14"/>
          <xdr:cNvSpPr/>
        </xdr:nvSpPr>
        <xdr:spPr>
          <a:xfrm>
            <a:off x="11776363" y="164523"/>
            <a:ext cx="450274" cy="389659"/>
          </a:xfrm>
          <a:prstGeom prst="ellipse">
            <a:avLst/>
          </a:prstGeom>
          <a:solidFill>
            <a:schemeClr val="bg1"/>
          </a:solid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ysClr val="windowText" lastClr="000000"/>
                </a:solidFill>
                <a:latin typeface="Arial" panose="020B0604020202020204" pitchFamily="34" charset="0"/>
                <a:cs typeface="Arial" panose="020B0604020202020204" pitchFamily="34" charset="0"/>
              </a:rPr>
              <a:t>1º</a:t>
            </a:r>
          </a:p>
        </xdr:txBody>
      </xdr:sp>
    </xdr:grpSp>
    <xdr:clientData/>
  </xdr:twoCellAnchor>
  <xdr:twoCellAnchor>
    <xdr:from>
      <xdr:col>8</xdr:col>
      <xdr:colOff>367396</xdr:colOff>
      <xdr:row>1</xdr:row>
      <xdr:rowOff>59823</xdr:rowOff>
    </xdr:from>
    <xdr:to>
      <xdr:col>13</xdr:col>
      <xdr:colOff>675824</xdr:colOff>
      <xdr:row>5</xdr:row>
      <xdr:rowOff>45357</xdr:rowOff>
    </xdr:to>
    <xdr:sp macro="" textlink="">
      <xdr:nvSpPr>
        <xdr:cNvPr id="16" name="Rectángulo redondeado 15"/>
        <xdr:cNvSpPr/>
      </xdr:nvSpPr>
      <xdr:spPr>
        <a:xfrm>
          <a:off x="6463396" y="250323"/>
          <a:ext cx="4118428" cy="747534"/>
        </a:xfrm>
        <a:prstGeom prst="roundRect">
          <a:avLst/>
        </a:prstGeom>
        <a:solidFill>
          <a:schemeClr val="bg1">
            <a:lumMod val="8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ES" sz="1400" b="0">
              <a:solidFill>
                <a:sysClr val="windowText" lastClr="000000"/>
              </a:solidFill>
              <a:latin typeface="Wingdings" panose="05000000000000000000" pitchFamily="2" charset="2"/>
              <a:cs typeface="Arial" panose="020B0604020202020204" pitchFamily="34" charset="0"/>
            </a:rPr>
            <a:t> </a:t>
          </a:r>
          <a:r>
            <a:rPr lang="es-ES" sz="1100" b="0">
              <a:solidFill>
                <a:sysClr val="windowText" lastClr="000000"/>
              </a:solidFill>
              <a:latin typeface="Arial" panose="020B0604020202020204" pitchFamily="34" charset="0"/>
              <a:cs typeface="Arial" panose="020B0604020202020204" pitchFamily="34" charset="0"/>
            </a:rPr>
            <a:t>Rellenar solo las celdas sombreadas en color </a:t>
          </a:r>
          <a:r>
            <a:rPr lang="es-ES" sz="1100" b="1">
              <a:solidFill>
                <a:schemeClr val="bg1">
                  <a:lumMod val="50000"/>
                </a:schemeClr>
              </a:solidFill>
              <a:latin typeface="Arial" panose="020B0604020202020204" pitchFamily="34" charset="0"/>
              <a:cs typeface="Arial" panose="020B0604020202020204" pitchFamily="34" charset="0"/>
            </a:rPr>
            <a:t>GRIS</a:t>
          </a:r>
          <a:r>
            <a:rPr lang="es-ES" sz="1100" b="0">
              <a:solidFill>
                <a:sysClr val="windowText" lastClr="000000"/>
              </a:solidFill>
              <a:latin typeface="Arial" panose="020B0604020202020204" pitchFamily="34" charset="0"/>
              <a:cs typeface="Arial" panose="020B0604020202020204" pitchFamily="34" charset="0"/>
            </a:rPr>
            <a:t>.</a:t>
          </a:r>
          <a:br>
            <a:rPr lang="es-ES" sz="1100" b="0">
              <a:solidFill>
                <a:sysClr val="windowText" lastClr="000000"/>
              </a:solidFill>
              <a:latin typeface="Arial" panose="020B0604020202020204" pitchFamily="34" charset="0"/>
              <a:cs typeface="Arial" panose="020B0604020202020204" pitchFamily="34" charset="0"/>
            </a:rPr>
          </a:br>
          <a:r>
            <a:rPr lang="es-ES" sz="1100" b="0">
              <a:solidFill>
                <a:sysClr val="windowText" lastClr="000000"/>
              </a:solidFill>
              <a:latin typeface="Arial" panose="020B0604020202020204" pitchFamily="34" charset="0"/>
              <a:cs typeface="Arial" panose="020B0604020202020204" pitchFamily="34" charset="0"/>
            </a:rPr>
            <a:t>Las celdas aparecerán resaltadas en </a:t>
          </a:r>
          <a:r>
            <a:rPr lang="es-ES" sz="1100" b="1">
              <a:solidFill>
                <a:srgbClr val="FF0000"/>
              </a:solidFill>
              <a:latin typeface="Arial" panose="020B0604020202020204" pitchFamily="34" charset="0"/>
              <a:cs typeface="Arial" panose="020B0604020202020204" pitchFamily="34" charset="0"/>
            </a:rPr>
            <a:t>ROJO</a:t>
          </a:r>
          <a:r>
            <a:rPr lang="es-ES" sz="1100" b="0">
              <a:solidFill>
                <a:sysClr val="windowText" lastClr="000000"/>
              </a:solidFill>
              <a:latin typeface="Arial" panose="020B0604020202020204" pitchFamily="34" charset="0"/>
              <a:cs typeface="Arial" panose="020B0604020202020204" pitchFamily="34" charset="0"/>
            </a:rPr>
            <a:t> si no se cumple lo marcado en el "Reglamento de la ED".</a:t>
          </a:r>
        </a:p>
      </xdr:txBody>
    </xdr:sp>
    <xdr:clientData/>
  </xdr:twoCellAnchor>
  <xdr:oneCellAnchor>
    <xdr:from>
      <xdr:col>14</xdr:col>
      <xdr:colOff>296718</xdr:colOff>
      <xdr:row>7</xdr:row>
      <xdr:rowOff>38100</xdr:rowOff>
    </xdr:from>
    <xdr:ext cx="7897894" cy="4612723"/>
    <xdr:pic>
      <xdr:nvPicPr>
        <xdr:cNvPr id="17" name="Imagen 16"/>
        <xdr:cNvPicPr>
          <a:picLocks noChangeAspect="1"/>
        </xdr:cNvPicPr>
      </xdr:nvPicPr>
      <xdr:blipFill>
        <a:blip xmlns:r="http://schemas.openxmlformats.org/officeDocument/2006/relationships" r:embed="rId2"/>
        <a:stretch>
          <a:fillRect/>
        </a:stretch>
      </xdr:blipFill>
      <xdr:spPr>
        <a:xfrm>
          <a:off x="10964718" y="1371600"/>
          <a:ext cx="7897894" cy="461272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twoCellAnchor>
    <xdr:from>
      <xdr:col>16</xdr:col>
      <xdr:colOff>652322</xdr:colOff>
      <xdr:row>2</xdr:row>
      <xdr:rowOff>190019</xdr:rowOff>
    </xdr:from>
    <xdr:to>
      <xdr:col>20</xdr:col>
      <xdr:colOff>323848</xdr:colOff>
      <xdr:row>5</xdr:row>
      <xdr:rowOff>60613</xdr:rowOff>
    </xdr:to>
    <xdr:sp macro="" textlink="">
      <xdr:nvSpPr>
        <xdr:cNvPr id="18" name="Rectángulo redondeado 17"/>
        <xdr:cNvSpPr/>
      </xdr:nvSpPr>
      <xdr:spPr>
        <a:xfrm>
          <a:off x="12844322" y="571019"/>
          <a:ext cx="2719526" cy="442094"/>
        </a:xfrm>
        <a:prstGeom prst="roundRect">
          <a:avLst/>
        </a:prstGeom>
        <a:solidFill>
          <a:schemeClr val="accent1">
            <a:lumMod val="40000"/>
            <a:lumOff val="60000"/>
          </a:scheme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0">
              <a:solidFill>
                <a:sysClr val="windowText" lastClr="000000"/>
              </a:solidFill>
              <a:latin typeface="Arial" panose="020B0604020202020204" pitchFamily="34" charset="0"/>
              <a:cs typeface="Arial" panose="020B0604020202020204" pitchFamily="34" charset="0"/>
            </a:rPr>
            <a:t>Hoja: </a:t>
          </a:r>
          <a:r>
            <a:rPr lang="es-ES" sz="1100" b="1">
              <a:solidFill>
                <a:sysClr val="windowText" lastClr="000000"/>
              </a:solidFill>
              <a:latin typeface="Arial" panose="020B0604020202020204" pitchFamily="34" charset="0"/>
              <a:cs typeface="Arial" panose="020B0604020202020204" pitchFamily="34" charset="0"/>
            </a:rPr>
            <a:t>SUPERVISOR/A INTERMEDIO</a:t>
          </a:r>
        </a:p>
      </xdr:txBody>
    </xdr:sp>
    <xdr:clientData/>
  </xdr:twoCellAnchor>
  <xdr:twoCellAnchor>
    <xdr:from>
      <xdr:col>25</xdr:col>
      <xdr:colOff>308455</xdr:colOff>
      <xdr:row>12</xdr:row>
      <xdr:rowOff>84858</xdr:rowOff>
    </xdr:from>
    <xdr:to>
      <xdr:col>25</xdr:col>
      <xdr:colOff>1384300</xdr:colOff>
      <xdr:row>18</xdr:row>
      <xdr:rowOff>114300</xdr:rowOff>
    </xdr:to>
    <xdr:sp macro="" textlink="">
      <xdr:nvSpPr>
        <xdr:cNvPr id="19" name="Rectángulo redondeado 18"/>
        <xdr:cNvSpPr/>
      </xdr:nvSpPr>
      <xdr:spPr>
        <a:xfrm>
          <a:off x="19358455" y="2370858"/>
          <a:ext cx="456720" cy="1172442"/>
        </a:xfrm>
        <a:prstGeom prst="roundRect">
          <a:avLst/>
        </a:prstGeom>
        <a:solidFill>
          <a:schemeClr val="bg1">
            <a:lumMod val="9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ES" sz="1100">
              <a:solidFill>
                <a:sysClr val="windowText" lastClr="000000"/>
              </a:solidFill>
              <a:latin typeface="Arial" panose="020B0604020202020204" pitchFamily="34" charset="0"/>
              <a:cs typeface="Arial" panose="020B0604020202020204" pitchFamily="34" charset="0"/>
            </a:rPr>
            <a:t>Rellenar datos</a:t>
          </a:r>
        </a:p>
        <a:p>
          <a:pPr algn="l"/>
          <a:r>
            <a:rPr lang="es-ES" sz="1100">
              <a:solidFill>
                <a:sysClr val="windowText" lastClr="000000"/>
              </a:solidFill>
              <a:latin typeface="Arial" panose="020B0604020202020204" pitchFamily="34" charset="0"/>
              <a:cs typeface="Arial" panose="020B0604020202020204" pitchFamily="34" charset="0"/>
            </a:rPr>
            <a:t>Supervisor/a Intermedio</a:t>
          </a:r>
        </a:p>
      </xdr:txBody>
    </xdr:sp>
    <xdr:clientData/>
  </xdr:twoCellAnchor>
  <xdr:twoCellAnchor>
    <xdr:from>
      <xdr:col>23</xdr:col>
      <xdr:colOff>411201</xdr:colOff>
      <xdr:row>32</xdr:row>
      <xdr:rowOff>139111</xdr:rowOff>
    </xdr:from>
    <xdr:to>
      <xdr:col>25</xdr:col>
      <xdr:colOff>153360</xdr:colOff>
      <xdr:row>35</xdr:row>
      <xdr:rowOff>95058</xdr:rowOff>
    </xdr:to>
    <xdr:sp macro="" textlink="">
      <xdr:nvSpPr>
        <xdr:cNvPr id="20" name="Rectángulo redondeado 19"/>
        <xdr:cNvSpPr/>
      </xdr:nvSpPr>
      <xdr:spPr>
        <a:xfrm>
          <a:off x="17937201" y="6235111"/>
          <a:ext cx="1266159" cy="527447"/>
        </a:xfrm>
        <a:prstGeom prst="roundRect">
          <a:avLst/>
        </a:prstGeom>
        <a:solidFill>
          <a:schemeClr val="bg1">
            <a:lumMod val="9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s-ES" sz="1100">
              <a:solidFill>
                <a:sysClr val="windowText" lastClr="000000"/>
              </a:solidFill>
              <a:latin typeface="Arial" panose="020B0604020202020204" pitchFamily="34" charset="0"/>
              <a:cs typeface="Arial" panose="020B0604020202020204" pitchFamily="34" charset="0"/>
            </a:rPr>
            <a:t>Rellenar valores numéricos</a:t>
          </a:r>
        </a:p>
      </xdr:txBody>
    </xdr:sp>
    <xdr:clientData/>
  </xdr:twoCellAnchor>
  <xdr:twoCellAnchor>
    <xdr:from>
      <xdr:col>23</xdr:col>
      <xdr:colOff>199121</xdr:colOff>
      <xdr:row>29</xdr:row>
      <xdr:rowOff>48586</xdr:rowOff>
    </xdr:from>
    <xdr:to>
      <xdr:col>23</xdr:col>
      <xdr:colOff>527630</xdr:colOff>
      <xdr:row>32</xdr:row>
      <xdr:rowOff>142009</xdr:rowOff>
    </xdr:to>
    <xdr:cxnSp macro="">
      <xdr:nvCxnSpPr>
        <xdr:cNvPr id="21" name="Conector recto de flecha 20"/>
        <xdr:cNvCxnSpPr>
          <a:endCxn id="28" idx="2"/>
        </xdr:cNvCxnSpPr>
      </xdr:nvCxnSpPr>
      <xdr:spPr>
        <a:xfrm flipH="1" flipV="1">
          <a:off x="17725121" y="5573086"/>
          <a:ext cx="328509" cy="664923"/>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13525</xdr:colOff>
      <xdr:row>28</xdr:row>
      <xdr:rowOff>530</xdr:rowOff>
    </xdr:from>
    <xdr:to>
      <xdr:col>22</xdr:col>
      <xdr:colOff>688934</xdr:colOff>
      <xdr:row>29</xdr:row>
      <xdr:rowOff>52958</xdr:rowOff>
    </xdr:to>
    <xdr:sp macro="" textlink="">
      <xdr:nvSpPr>
        <xdr:cNvPr id="22" name="Rectángulo redondeado 21"/>
        <xdr:cNvSpPr/>
      </xdr:nvSpPr>
      <xdr:spPr>
        <a:xfrm>
          <a:off x="11443525" y="5334530"/>
          <a:ext cx="6009409" cy="242928"/>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14</xdr:col>
      <xdr:colOff>414093</xdr:colOff>
      <xdr:row>32</xdr:row>
      <xdr:rowOff>139111</xdr:rowOff>
    </xdr:from>
    <xdr:to>
      <xdr:col>22</xdr:col>
      <xdr:colOff>265808</xdr:colOff>
      <xdr:row>36</xdr:row>
      <xdr:rowOff>132345</xdr:rowOff>
    </xdr:to>
    <xdr:sp macro="" textlink="">
      <xdr:nvSpPr>
        <xdr:cNvPr id="23" name="Rectángulo redondeado 22"/>
        <xdr:cNvSpPr/>
      </xdr:nvSpPr>
      <xdr:spPr>
        <a:xfrm>
          <a:off x="11082093" y="6235111"/>
          <a:ext cx="5947715" cy="755234"/>
        </a:xfrm>
        <a:prstGeom prst="roundRect">
          <a:avLst/>
        </a:prstGeom>
        <a:solidFill>
          <a:schemeClr val="bg1">
            <a:lumMod val="9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s-ES" sz="1100">
              <a:solidFill>
                <a:sysClr val="windowText" lastClr="000000"/>
              </a:solidFill>
              <a:latin typeface="Arial" panose="020B0604020202020204" pitchFamily="34" charset="0"/>
              <a:cs typeface="Arial" panose="020B0604020202020204" pitchFamily="34" charset="0"/>
            </a:rPr>
            <a:t>Los </a:t>
          </a:r>
          <a:r>
            <a:rPr lang="es-ES" sz="1100" b="1">
              <a:solidFill>
                <a:sysClr val="windowText" lastClr="000000"/>
              </a:solidFill>
              <a:latin typeface="Arial" panose="020B0604020202020204" pitchFamily="34" charset="0"/>
              <a:cs typeface="Arial" panose="020B0604020202020204" pitchFamily="34" charset="0"/>
            </a:rPr>
            <a:t>supervisores</a:t>
          </a:r>
          <a:r>
            <a:rPr lang="es-ES" sz="1100">
              <a:solidFill>
                <a:sysClr val="windowText" lastClr="000000"/>
              </a:solidFill>
              <a:latin typeface="Arial" panose="020B0604020202020204" pitchFamily="34" charset="0"/>
              <a:cs typeface="Arial" panose="020B0604020202020204" pitchFamily="34" charset="0"/>
            </a:rPr>
            <a:t> y los </a:t>
          </a:r>
          <a:r>
            <a:rPr lang="es-ES" sz="1100" b="1">
              <a:solidFill>
                <a:sysClr val="windowText" lastClr="000000"/>
              </a:solidFill>
              <a:latin typeface="Arial" panose="020B0604020202020204" pitchFamily="34" charset="0"/>
              <a:cs typeface="Arial" panose="020B0604020202020204" pitchFamily="34" charset="0"/>
            </a:rPr>
            <a:t>supervisores intermedios </a:t>
          </a:r>
          <a:r>
            <a:rPr lang="es-ES" sz="1100">
              <a:solidFill>
                <a:sysClr val="windowText" lastClr="000000"/>
              </a:solidFill>
              <a:latin typeface="Arial" panose="020B0604020202020204" pitchFamily="34" charset="0"/>
              <a:cs typeface="Arial" panose="020B0604020202020204" pitchFamily="34" charset="0"/>
            </a:rPr>
            <a:t>tienen 5 objetivos ya fijados</a:t>
          </a:r>
        </a:p>
        <a:p>
          <a:pPr algn="l"/>
          <a:r>
            <a:rPr lang="es-ES" sz="1100">
              <a:solidFill>
                <a:sysClr val="windowText" lastClr="000000"/>
              </a:solidFill>
              <a:latin typeface="Arial" panose="020B0604020202020204" pitchFamily="34" charset="0"/>
              <a:cs typeface="Arial" panose="020B0604020202020204" pitchFamily="34" charset="0"/>
            </a:rPr>
            <a:t>(página 23 del "Reglamento de la ED")</a:t>
          </a:r>
        </a:p>
        <a:p>
          <a:pPr algn="l"/>
          <a:r>
            <a:rPr lang="es-ES" sz="1100">
              <a:solidFill>
                <a:sysClr val="windowText" lastClr="000000"/>
              </a:solidFill>
              <a:latin typeface="Arial" panose="020B0604020202020204" pitchFamily="34" charset="0"/>
              <a:cs typeface="Arial" panose="020B0604020202020204" pitchFamily="34" charset="0"/>
            </a:rPr>
            <a:t>Por lo tanto, únicamente queda un objetivo por incorporar, que representa el 16 %.</a:t>
          </a:r>
        </a:p>
      </xdr:txBody>
    </xdr:sp>
    <xdr:clientData/>
  </xdr:twoCellAnchor>
  <xdr:twoCellAnchor>
    <xdr:from>
      <xdr:col>17</xdr:col>
      <xdr:colOff>705517</xdr:colOff>
      <xdr:row>29</xdr:row>
      <xdr:rowOff>41813</xdr:rowOff>
    </xdr:from>
    <xdr:to>
      <xdr:col>18</xdr:col>
      <xdr:colOff>523675</xdr:colOff>
      <xdr:row>33</xdr:row>
      <xdr:rowOff>30845</xdr:rowOff>
    </xdr:to>
    <xdr:cxnSp macro="">
      <xdr:nvCxnSpPr>
        <xdr:cNvPr id="24" name="Conector recto de flecha 23"/>
        <xdr:cNvCxnSpPr/>
      </xdr:nvCxnSpPr>
      <xdr:spPr>
        <a:xfrm flipH="1" flipV="1">
          <a:off x="13659517" y="5566313"/>
          <a:ext cx="580158" cy="751032"/>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1</xdr:row>
      <xdr:rowOff>0</xdr:rowOff>
    </xdr:from>
    <xdr:to>
      <xdr:col>16</xdr:col>
      <xdr:colOff>346364</xdr:colOff>
      <xdr:row>5</xdr:row>
      <xdr:rowOff>60613</xdr:rowOff>
    </xdr:to>
    <xdr:grpSp>
      <xdr:nvGrpSpPr>
        <xdr:cNvPr id="25" name="Grupo 24"/>
        <xdr:cNvGrpSpPr/>
      </xdr:nvGrpSpPr>
      <xdr:grpSpPr>
        <a:xfrm>
          <a:off x="9822656" y="71438"/>
          <a:ext cx="1108364" cy="822613"/>
          <a:chOff x="11473295" y="164523"/>
          <a:chExt cx="1108364" cy="822613"/>
        </a:xfrm>
      </xdr:grpSpPr>
      <xdr:sp macro="" textlink="">
        <xdr:nvSpPr>
          <xdr:cNvPr id="26" name="Rectángulo redondeado 25"/>
          <xdr:cNvSpPr/>
        </xdr:nvSpPr>
        <xdr:spPr>
          <a:xfrm>
            <a:off x="11473295" y="467591"/>
            <a:ext cx="1108364" cy="519545"/>
          </a:xfrm>
          <a:prstGeom prst="round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a:solidFill>
                  <a:sysClr val="windowText" lastClr="000000"/>
                </a:solidFill>
              </a:rPr>
              <a:t>Herramienta</a:t>
            </a:r>
          </a:p>
          <a:p>
            <a:pPr algn="ctr"/>
            <a:r>
              <a:rPr lang="es-ES" sz="1100" b="1">
                <a:solidFill>
                  <a:srgbClr val="00B050"/>
                </a:solidFill>
                <a:latin typeface="Arial" panose="020B0604020202020204" pitchFamily="34" charset="0"/>
                <a:cs typeface="Arial" panose="020B0604020202020204" pitchFamily="34" charset="0"/>
              </a:rPr>
              <a:t>OBJETIVOS</a:t>
            </a:r>
          </a:p>
        </xdr:txBody>
      </xdr:sp>
      <xdr:sp macro="" textlink="">
        <xdr:nvSpPr>
          <xdr:cNvPr id="27" name="Elipse 26"/>
          <xdr:cNvSpPr/>
        </xdr:nvSpPr>
        <xdr:spPr>
          <a:xfrm>
            <a:off x="11776363" y="164523"/>
            <a:ext cx="450274" cy="389659"/>
          </a:xfrm>
          <a:prstGeom prst="ellipse">
            <a:avLst/>
          </a:prstGeom>
          <a:solidFill>
            <a:schemeClr val="bg1"/>
          </a:solid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ysClr val="windowText" lastClr="000000"/>
                </a:solidFill>
                <a:latin typeface="Arial" panose="020B0604020202020204" pitchFamily="34" charset="0"/>
                <a:cs typeface="Arial" panose="020B0604020202020204" pitchFamily="34" charset="0"/>
              </a:rPr>
              <a:t>1º</a:t>
            </a:r>
          </a:p>
        </xdr:txBody>
      </xdr:sp>
    </xdr:grpSp>
    <xdr:clientData/>
  </xdr:twoCellAnchor>
  <xdr:twoCellAnchor>
    <xdr:from>
      <xdr:col>22</xdr:col>
      <xdr:colOff>745221</xdr:colOff>
      <xdr:row>17</xdr:row>
      <xdr:rowOff>2624</xdr:rowOff>
    </xdr:from>
    <xdr:to>
      <xdr:col>23</xdr:col>
      <xdr:colOff>415021</xdr:colOff>
      <xdr:row>29</xdr:row>
      <xdr:rowOff>48586</xdr:rowOff>
    </xdr:to>
    <xdr:sp macro="" textlink="">
      <xdr:nvSpPr>
        <xdr:cNvPr id="28" name="Rectángulo redondeado 27"/>
        <xdr:cNvSpPr/>
      </xdr:nvSpPr>
      <xdr:spPr>
        <a:xfrm>
          <a:off x="17509221" y="3241124"/>
          <a:ext cx="431800" cy="2331962"/>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oneCellAnchor>
    <xdr:from>
      <xdr:col>1</xdr:col>
      <xdr:colOff>6034</xdr:colOff>
      <xdr:row>46</xdr:row>
      <xdr:rowOff>3377</xdr:rowOff>
    </xdr:from>
    <xdr:ext cx="7994059" cy="4670982"/>
    <xdr:pic>
      <xdr:nvPicPr>
        <xdr:cNvPr id="29" name="Imagen 28"/>
        <xdr:cNvPicPr>
          <a:picLocks noChangeAspect="1"/>
        </xdr:cNvPicPr>
      </xdr:nvPicPr>
      <xdr:blipFill>
        <a:blip xmlns:r="http://schemas.openxmlformats.org/officeDocument/2006/relationships" r:embed="rId3"/>
        <a:stretch>
          <a:fillRect/>
        </a:stretch>
      </xdr:blipFill>
      <xdr:spPr>
        <a:xfrm>
          <a:off x="768034" y="8766377"/>
          <a:ext cx="7994059" cy="467098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twoCellAnchor>
    <xdr:from>
      <xdr:col>3</xdr:col>
      <xdr:colOff>340594</xdr:colOff>
      <xdr:row>42</xdr:row>
      <xdr:rowOff>175775</xdr:rowOff>
    </xdr:from>
    <xdr:to>
      <xdr:col>6</xdr:col>
      <xdr:colOff>37877</xdr:colOff>
      <xdr:row>44</xdr:row>
      <xdr:rowOff>177510</xdr:rowOff>
    </xdr:to>
    <xdr:sp macro="" textlink="">
      <xdr:nvSpPr>
        <xdr:cNvPr id="30" name="Rectángulo redondeado 29"/>
        <xdr:cNvSpPr/>
      </xdr:nvSpPr>
      <xdr:spPr>
        <a:xfrm>
          <a:off x="2626594" y="8176775"/>
          <a:ext cx="1983283" cy="382735"/>
        </a:xfrm>
        <a:prstGeom prst="roundRect">
          <a:avLst/>
        </a:prstGeom>
        <a:solidFill>
          <a:schemeClr val="bg1">
            <a:lumMod val="95000"/>
          </a:scheme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0">
              <a:solidFill>
                <a:sysClr val="windowText" lastClr="000000"/>
              </a:solidFill>
              <a:latin typeface="Arial" panose="020B0604020202020204" pitchFamily="34" charset="0"/>
              <a:cs typeface="Arial" panose="020B0604020202020204" pitchFamily="34" charset="0"/>
            </a:rPr>
            <a:t>Hoja: </a:t>
          </a:r>
          <a:r>
            <a:rPr lang="es-ES" sz="1100" b="1">
              <a:solidFill>
                <a:sysClr val="windowText" lastClr="000000"/>
              </a:solidFill>
              <a:latin typeface="Arial" panose="020B0604020202020204" pitchFamily="34" charset="0"/>
              <a:cs typeface="Arial" panose="020B0604020202020204" pitchFamily="34" charset="0"/>
            </a:rPr>
            <a:t>COLABORADOR/A</a:t>
          </a:r>
        </a:p>
      </xdr:txBody>
    </xdr:sp>
    <xdr:clientData/>
  </xdr:twoCellAnchor>
  <xdr:twoCellAnchor>
    <xdr:from>
      <xdr:col>12</xdr:col>
      <xdr:colOff>239298</xdr:colOff>
      <xdr:row>49</xdr:row>
      <xdr:rowOff>116700</xdr:rowOff>
    </xdr:from>
    <xdr:to>
      <xdr:col>12</xdr:col>
      <xdr:colOff>356352</xdr:colOff>
      <xdr:row>52</xdr:row>
      <xdr:rowOff>151544</xdr:rowOff>
    </xdr:to>
    <xdr:sp macro="" textlink="">
      <xdr:nvSpPr>
        <xdr:cNvPr id="31" name="Cerrar llave 30"/>
        <xdr:cNvSpPr/>
      </xdr:nvSpPr>
      <xdr:spPr>
        <a:xfrm>
          <a:off x="9383298" y="9451200"/>
          <a:ext cx="117054" cy="606344"/>
        </a:xfrm>
        <a:prstGeom prst="rightBrace">
          <a:avLst>
            <a:gd name="adj1" fmla="val 54166"/>
            <a:gd name="adj2" fmla="val 50613"/>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s-ES" sz="1100"/>
        </a:p>
      </xdr:txBody>
    </xdr:sp>
    <xdr:clientData/>
  </xdr:twoCellAnchor>
  <xdr:twoCellAnchor>
    <xdr:from>
      <xdr:col>12</xdr:col>
      <xdr:colOff>332759</xdr:colOff>
      <xdr:row>51</xdr:row>
      <xdr:rowOff>125556</xdr:rowOff>
    </xdr:from>
    <xdr:to>
      <xdr:col>13</xdr:col>
      <xdr:colOff>713759</xdr:colOff>
      <xdr:row>58</xdr:row>
      <xdr:rowOff>38965</xdr:rowOff>
    </xdr:to>
    <xdr:sp macro="" textlink="">
      <xdr:nvSpPr>
        <xdr:cNvPr id="32" name="Rectángulo redondeado 31"/>
        <xdr:cNvSpPr/>
      </xdr:nvSpPr>
      <xdr:spPr>
        <a:xfrm>
          <a:off x="9476759" y="9841056"/>
          <a:ext cx="1143000" cy="1246909"/>
        </a:xfrm>
        <a:prstGeom prst="roundRect">
          <a:avLst/>
        </a:prstGeom>
        <a:solidFill>
          <a:schemeClr val="bg1">
            <a:lumMod val="9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s-ES" sz="1100">
              <a:solidFill>
                <a:sysClr val="windowText" lastClr="000000"/>
              </a:solidFill>
              <a:latin typeface="Arial" panose="020B0604020202020204" pitchFamily="34" charset="0"/>
              <a:cs typeface="Arial" panose="020B0604020202020204" pitchFamily="34" charset="0"/>
            </a:rPr>
            <a:t>Rellenar solo Supervisor/a Intermedio</a:t>
          </a:r>
          <a:r>
            <a:rPr lang="es-ES" sz="1100" baseline="0">
              <a:solidFill>
                <a:sysClr val="windowText" lastClr="000000"/>
              </a:solidFill>
              <a:latin typeface="Arial" panose="020B0604020202020204" pitchFamily="34" charset="0"/>
              <a:cs typeface="Arial" panose="020B0604020202020204" pitchFamily="34" charset="0"/>
            </a:rPr>
            <a:t> (</a:t>
          </a:r>
          <a:r>
            <a:rPr lang="es-ES" sz="1100">
              <a:solidFill>
                <a:sysClr val="windowText" lastClr="000000"/>
              </a:solidFill>
              <a:latin typeface="Arial" panose="020B0604020202020204" pitchFamily="34" charset="0"/>
              <a:cs typeface="Arial" panose="020B0604020202020204" pitchFamily="34" charset="0"/>
            </a:rPr>
            <a:t>si hubiera)   y datos del Empleado.</a:t>
          </a:r>
        </a:p>
      </xdr:txBody>
    </xdr:sp>
    <xdr:clientData/>
  </xdr:twoCellAnchor>
  <xdr:twoCellAnchor>
    <xdr:from>
      <xdr:col>12</xdr:col>
      <xdr:colOff>476251</xdr:colOff>
      <xdr:row>51</xdr:row>
      <xdr:rowOff>30306</xdr:rowOff>
    </xdr:from>
    <xdr:to>
      <xdr:col>12</xdr:col>
      <xdr:colOff>701388</xdr:colOff>
      <xdr:row>51</xdr:row>
      <xdr:rowOff>151534</xdr:rowOff>
    </xdr:to>
    <xdr:cxnSp macro="">
      <xdr:nvCxnSpPr>
        <xdr:cNvPr id="33" name="Conector recto de flecha 32"/>
        <xdr:cNvCxnSpPr/>
      </xdr:nvCxnSpPr>
      <xdr:spPr>
        <a:xfrm flipH="1" flipV="1">
          <a:off x="9620251" y="9745806"/>
          <a:ext cx="225137" cy="121228"/>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295879</xdr:colOff>
      <xdr:row>71</xdr:row>
      <xdr:rowOff>119558</xdr:rowOff>
    </xdr:from>
    <xdr:to>
      <xdr:col>12</xdr:col>
      <xdr:colOff>190500</xdr:colOff>
      <xdr:row>74</xdr:row>
      <xdr:rowOff>136071</xdr:rowOff>
    </xdr:to>
    <xdr:sp macro="" textlink="">
      <xdr:nvSpPr>
        <xdr:cNvPr id="34" name="Rectángulo redondeado 33"/>
        <xdr:cNvSpPr/>
      </xdr:nvSpPr>
      <xdr:spPr>
        <a:xfrm>
          <a:off x="7915879" y="13645058"/>
          <a:ext cx="1418621" cy="588013"/>
        </a:xfrm>
        <a:prstGeom prst="roundRect">
          <a:avLst/>
        </a:prstGeom>
        <a:solidFill>
          <a:schemeClr val="bg1">
            <a:lumMod val="9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s-ES" sz="1100">
              <a:solidFill>
                <a:sysClr val="windowText" lastClr="000000"/>
              </a:solidFill>
              <a:latin typeface="Arial" panose="020B0604020202020204" pitchFamily="34" charset="0"/>
              <a:cs typeface="Arial" panose="020B0604020202020204" pitchFamily="34" charset="0"/>
            </a:rPr>
            <a:t>Rellenar con valores numéricos</a:t>
          </a:r>
        </a:p>
      </xdr:txBody>
    </xdr:sp>
    <xdr:clientData/>
  </xdr:twoCellAnchor>
  <xdr:twoCellAnchor>
    <xdr:from>
      <xdr:col>10</xdr:col>
      <xdr:colOff>246449</xdr:colOff>
      <xdr:row>67</xdr:row>
      <xdr:rowOff>81693</xdr:rowOff>
    </xdr:from>
    <xdr:to>
      <xdr:col>10</xdr:col>
      <xdr:colOff>261433</xdr:colOff>
      <xdr:row>72</xdr:row>
      <xdr:rowOff>5818</xdr:rowOff>
    </xdr:to>
    <xdr:cxnSp macro="">
      <xdr:nvCxnSpPr>
        <xdr:cNvPr id="35" name="Conector recto de flecha 34"/>
        <xdr:cNvCxnSpPr/>
      </xdr:nvCxnSpPr>
      <xdr:spPr>
        <a:xfrm flipV="1">
          <a:off x="7866449" y="12845193"/>
          <a:ext cx="14984" cy="876625"/>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2060</xdr:colOff>
      <xdr:row>55</xdr:row>
      <xdr:rowOff>118490</xdr:rowOff>
    </xdr:from>
    <xdr:to>
      <xdr:col>10</xdr:col>
      <xdr:colOff>433860</xdr:colOff>
      <xdr:row>67</xdr:row>
      <xdr:rowOff>20472</xdr:rowOff>
    </xdr:to>
    <xdr:sp macro="" textlink="">
      <xdr:nvSpPr>
        <xdr:cNvPr id="36" name="Rectángulo redondeado 35"/>
        <xdr:cNvSpPr/>
      </xdr:nvSpPr>
      <xdr:spPr>
        <a:xfrm>
          <a:off x="7622060" y="10595990"/>
          <a:ext cx="431800" cy="2187982"/>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17319</xdr:colOff>
      <xdr:row>71</xdr:row>
      <xdr:rowOff>142874</xdr:rowOff>
    </xdr:from>
    <xdr:to>
      <xdr:col>9</xdr:col>
      <xdr:colOff>432955</xdr:colOff>
      <xdr:row>75</xdr:row>
      <xdr:rowOff>90919</xdr:rowOff>
    </xdr:to>
    <xdr:sp macro="" textlink="">
      <xdr:nvSpPr>
        <xdr:cNvPr id="37" name="Rectángulo redondeado 36"/>
        <xdr:cNvSpPr/>
      </xdr:nvSpPr>
      <xdr:spPr>
        <a:xfrm>
          <a:off x="1541319" y="13668374"/>
          <a:ext cx="5749636" cy="710045"/>
        </a:xfrm>
        <a:prstGeom prst="roundRect">
          <a:avLst/>
        </a:prstGeom>
        <a:solidFill>
          <a:schemeClr val="bg1">
            <a:lumMod val="9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ES" sz="1100">
              <a:solidFill>
                <a:sysClr val="windowText" lastClr="000000"/>
              </a:solidFill>
              <a:latin typeface="Arial" panose="020B0604020202020204" pitchFamily="34" charset="0"/>
              <a:cs typeface="Arial" panose="020B0604020202020204" pitchFamily="34" charset="0"/>
            </a:rPr>
            <a:t>Los </a:t>
          </a:r>
          <a:r>
            <a:rPr lang="es-ES" sz="1100" b="1">
              <a:solidFill>
                <a:sysClr val="windowText" lastClr="000000"/>
              </a:solidFill>
              <a:latin typeface="Arial" panose="020B0604020202020204" pitchFamily="34" charset="0"/>
              <a:cs typeface="Arial" panose="020B0604020202020204" pitchFamily="34" charset="0"/>
            </a:rPr>
            <a:t>colaboradores</a:t>
          </a:r>
          <a:r>
            <a:rPr lang="es-ES" sz="1100">
              <a:solidFill>
                <a:sysClr val="windowText" lastClr="000000"/>
              </a:solidFill>
              <a:latin typeface="Arial" panose="020B0604020202020204" pitchFamily="34" charset="0"/>
              <a:cs typeface="Arial" panose="020B0604020202020204" pitchFamily="34" charset="0"/>
            </a:rPr>
            <a:t> tienen 3 objetivos ya fijados (página 22 del "Reglamento de la ED")</a:t>
          </a:r>
        </a:p>
        <a:p>
          <a:pPr algn="l"/>
          <a:r>
            <a:rPr lang="es-ES" sz="1100">
              <a:solidFill>
                <a:sysClr val="windowText" lastClr="000000"/>
              </a:solidFill>
              <a:latin typeface="Arial" panose="020B0604020202020204" pitchFamily="34" charset="0"/>
              <a:cs typeface="Arial" panose="020B0604020202020204" pitchFamily="34" charset="0"/>
            </a:rPr>
            <a:t>Por lo tanto, pueden añadir hasta 4 objetivos más, cuyo valor mínimo es </a:t>
          </a:r>
          <a:r>
            <a:rPr lang="es-ES" sz="1100" b="0">
              <a:solidFill>
                <a:sysClr val="windowText" lastClr="000000"/>
              </a:solidFill>
              <a:latin typeface="Arial" panose="020B0604020202020204" pitchFamily="34" charset="0"/>
              <a:cs typeface="Arial" panose="020B0604020202020204" pitchFamily="34" charset="0"/>
            </a:rPr>
            <a:t>10%, </a:t>
          </a:r>
          <a:r>
            <a:rPr lang="es-ES" sz="1100" b="1">
              <a:solidFill>
                <a:sysClr val="windowText" lastClr="000000"/>
              </a:solidFill>
              <a:latin typeface="Arial" panose="020B0604020202020204" pitchFamily="34" charset="0"/>
              <a:cs typeface="Arial" panose="020B0604020202020204" pitchFamily="34" charset="0"/>
            </a:rPr>
            <a:t/>
          </a:r>
          <a:br>
            <a:rPr lang="es-ES" sz="1100" b="1">
              <a:solidFill>
                <a:sysClr val="windowText" lastClr="000000"/>
              </a:solidFill>
              <a:latin typeface="Arial" panose="020B0604020202020204" pitchFamily="34" charset="0"/>
              <a:cs typeface="Arial" panose="020B0604020202020204" pitchFamily="34" charset="0"/>
            </a:rPr>
          </a:br>
          <a:r>
            <a:rPr lang="es-ES" sz="1100">
              <a:solidFill>
                <a:sysClr val="windowText" lastClr="000000"/>
              </a:solidFill>
              <a:latin typeface="Arial" panose="020B0604020202020204" pitchFamily="34" charset="0"/>
              <a:cs typeface="Arial" panose="020B0604020202020204" pitchFamily="34" charset="0"/>
            </a:rPr>
            <a:t>y la</a:t>
          </a:r>
          <a:r>
            <a:rPr lang="es-ES" sz="1100" baseline="0">
              <a:solidFill>
                <a:sysClr val="windowText" lastClr="000000"/>
              </a:solidFill>
              <a:latin typeface="Arial" panose="020B0604020202020204" pitchFamily="34" charset="0"/>
              <a:cs typeface="Arial" panose="020B0604020202020204" pitchFamily="34" charset="0"/>
            </a:rPr>
            <a:t> </a:t>
          </a:r>
          <a:r>
            <a:rPr lang="es-ES" sz="1100">
              <a:solidFill>
                <a:sysClr val="windowText" lastClr="000000"/>
              </a:solidFill>
              <a:latin typeface="Arial" panose="020B0604020202020204" pitchFamily="34" charset="0"/>
              <a:cs typeface="Arial" panose="020B0604020202020204" pitchFamily="34" charset="0"/>
            </a:rPr>
            <a:t>suma de los 4 sería</a:t>
          </a:r>
          <a:r>
            <a:rPr lang="es-ES" sz="1100" baseline="0">
              <a:solidFill>
                <a:sysClr val="windowText" lastClr="000000"/>
              </a:solidFill>
              <a:latin typeface="Arial" panose="020B0604020202020204" pitchFamily="34" charset="0"/>
              <a:cs typeface="Arial" panose="020B0604020202020204" pitchFamily="34" charset="0"/>
            </a:rPr>
            <a:t> igual a </a:t>
          </a:r>
          <a:r>
            <a:rPr lang="es-ES" sz="1100">
              <a:solidFill>
                <a:sysClr val="windowText" lastClr="000000"/>
              </a:solidFill>
              <a:latin typeface="Arial" panose="020B0604020202020204" pitchFamily="34" charset="0"/>
              <a:cs typeface="Arial" panose="020B0604020202020204" pitchFamily="34" charset="0"/>
            </a:rPr>
            <a:t>40%.</a:t>
          </a:r>
        </a:p>
      </xdr:txBody>
    </xdr:sp>
    <xdr:clientData/>
  </xdr:twoCellAnchor>
  <xdr:twoCellAnchor>
    <xdr:from>
      <xdr:col>2</xdr:col>
      <xdr:colOff>580160</xdr:colOff>
      <xdr:row>68</xdr:row>
      <xdr:rowOff>86415</xdr:rowOff>
    </xdr:from>
    <xdr:to>
      <xdr:col>4</xdr:col>
      <xdr:colOff>143872</xdr:colOff>
      <xdr:row>71</xdr:row>
      <xdr:rowOff>151533</xdr:rowOff>
    </xdr:to>
    <xdr:cxnSp macro="">
      <xdr:nvCxnSpPr>
        <xdr:cNvPr id="38" name="Conector recto de flecha 37"/>
        <xdr:cNvCxnSpPr/>
      </xdr:nvCxnSpPr>
      <xdr:spPr>
        <a:xfrm flipV="1">
          <a:off x="2104160" y="13040415"/>
          <a:ext cx="1087712" cy="636618"/>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212098</xdr:colOff>
      <xdr:row>64</xdr:row>
      <xdr:rowOff>48956</xdr:rowOff>
    </xdr:from>
    <xdr:to>
      <xdr:col>9</xdr:col>
      <xdr:colOff>693391</xdr:colOff>
      <xdr:row>68</xdr:row>
      <xdr:rowOff>100256</xdr:rowOff>
    </xdr:to>
    <xdr:sp macro="" textlink="">
      <xdr:nvSpPr>
        <xdr:cNvPr id="39" name="Rectángulo redondeado 38"/>
        <xdr:cNvSpPr/>
      </xdr:nvSpPr>
      <xdr:spPr>
        <a:xfrm>
          <a:off x="974098" y="12240956"/>
          <a:ext cx="6577293" cy="813300"/>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0</xdr:colOff>
      <xdr:row>41</xdr:row>
      <xdr:rowOff>0</xdr:rowOff>
    </xdr:from>
    <xdr:to>
      <xdr:col>3</xdr:col>
      <xdr:colOff>117764</xdr:colOff>
      <xdr:row>45</xdr:row>
      <xdr:rowOff>61479</xdr:rowOff>
    </xdr:to>
    <xdr:grpSp>
      <xdr:nvGrpSpPr>
        <xdr:cNvPr id="40" name="Grupo 39"/>
        <xdr:cNvGrpSpPr/>
      </xdr:nvGrpSpPr>
      <xdr:grpSpPr>
        <a:xfrm>
          <a:off x="154781" y="7524750"/>
          <a:ext cx="1094077" cy="823479"/>
          <a:chOff x="11473295" y="164523"/>
          <a:chExt cx="1108364" cy="822613"/>
        </a:xfrm>
      </xdr:grpSpPr>
      <xdr:sp macro="" textlink="">
        <xdr:nvSpPr>
          <xdr:cNvPr id="41" name="Rectángulo redondeado 40"/>
          <xdr:cNvSpPr/>
        </xdr:nvSpPr>
        <xdr:spPr>
          <a:xfrm>
            <a:off x="11473295" y="467591"/>
            <a:ext cx="1108364" cy="519545"/>
          </a:xfrm>
          <a:prstGeom prst="round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a:solidFill>
                  <a:sysClr val="windowText" lastClr="000000"/>
                </a:solidFill>
              </a:rPr>
              <a:t>Herramienta</a:t>
            </a:r>
          </a:p>
          <a:p>
            <a:pPr algn="ctr"/>
            <a:r>
              <a:rPr lang="es-ES" sz="1100" b="1">
                <a:solidFill>
                  <a:srgbClr val="00B050"/>
                </a:solidFill>
                <a:latin typeface="Arial" panose="020B0604020202020204" pitchFamily="34" charset="0"/>
                <a:cs typeface="Arial" panose="020B0604020202020204" pitchFamily="34" charset="0"/>
              </a:rPr>
              <a:t>OBJETIVOS</a:t>
            </a:r>
          </a:p>
        </xdr:txBody>
      </xdr:sp>
      <xdr:sp macro="" textlink="">
        <xdr:nvSpPr>
          <xdr:cNvPr id="42" name="Elipse 41"/>
          <xdr:cNvSpPr/>
        </xdr:nvSpPr>
        <xdr:spPr>
          <a:xfrm>
            <a:off x="11776363" y="164523"/>
            <a:ext cx="450274" cy="389659"/>
          </a:xfrm>
          <a:prstGeom prst="ellipse">
            <a:avLst/>
          </a:prstGeom>
          <a:solidFill>
            <a:schemeClr val="bg1"/>
          </a:solid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ysClr val="windowText" lastClr="000000"/>
                </a:solidFill>
                <a:latin typeface="Arial" panose="020B0604020202020204" pitchFamily="34" charset="0"/>
                <a:cs typeface="Arial" panose="020B0604020202020204" pitchFamily="34" charset="0"/>
              </a:rPr>
              <a:t>1º</a:t>
            </a:r>
          </a:p>
        </xdr:txBody>
      </xdr:sp>
    </xdr:grpSp>
    <xdr:clientData/>
  </xdr:twoCellAnchor>
  <xdr:oneCellAnchor>
    <xdr:from>
      <xdr:col>15</xdr:col>
      <xdr:colOff>373495</xdr:colOff>
      <xdr:row>45</xdr:row>
      <xdr:rowOff>184247</xdr:rowOff>
    </xdr:from>
    <xdr:ext cx="5752381" cy="5561052"/>
    <xdr:pic>
      <xdr:nvPicPr>
        <xdr:cNvPr id="43" name="Imagen 42"/>
        <xdr:cNvPicPr>
          <a:picLocks noChangeAspect="1"/>
        </xdr:cNvPicPr>
      </xdr:nvPicPr>
      <xdr:blipFill rotWithShape="1">
        <a:blip xmlns:r="http://schemas.openxmlformats.org/officeDocument/2006/relationships" r:embed="rId4"/>
        <a:srcRect b="30134"/>
        <a:stretch/>
      </xdr:blipFill>
      <xdr:spPr>
        <a:xfrm>
          <a:off x="11803495" y="8756747"/>
          <a:ext cx="5752381" cy="556105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twoCellAnchor>
    <xdr:from>
      <xdr:col>23</xdr:col>
      <xdr:colOff>394177</xdr:colOff>
      <xdr:row>50</xdr:row>
      <xdr:rowOff>36082</xdr:rowOff>
    </xdr:from>
    <xdr:to>
      <xdr:col>25</xdr:col>
      <xdr:colOff>629286</xdr:colOff>
      <xdr:row>53</xdr:row>
      <xdr:rowOff>28197</xdr:rowOff>
    </xdr:to>
    <xdr:sp macro="" textlink="">
      <xdr:nvSpPr>
        <xdr:cNvPr id="44" name="Rectángulo redondeado 43"/>
        <xdr:cNvSpPr/>
      </xdr:nvSpPr>
      <xdr:spPr>
        <a:xfrm>
          <a:off x="17920177" y="9561082"/>
          <a:ext cx="1759109" cy="563615"/>
        </a:xfrm>
        <a:prstGeom prst="roundRect">
          <a:avLst/>
        </a:prstGeom>
        <a:solidFill>
          <a:schemeClr val="bg1">
            <a:lumMod val="9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s-ES" sz="1100" b="0">
              <a:solidFill>
                <a:sysClr val="windowText" lastClr="000000"/>
              </a:solidFill>
              <a:latin typeface="Arial" panose="020B0604020202020204" pitchFamily="34" charset="0"/>
              <a:cs typeface="Arial" panose="020B0604020202020204" pitchFamily="34" charset="0"/>
            </a:rPr>
            <a:t>Ejemplo:</a:t>
          </a:r>
          <a:r>
            <a:rPr lang="es-ES" sz="1100" b="0" baseline="0">
              <a:solidFill>
                <a:sysClr val="windowText" lastClr="000000"/>
              </a:solidFill>
              <a:latin typeface="Arial" panose="020B0604020202020204" pitchFamily="34" charset="0"/>
              <a:cs typeface="Arial" panose="020B0604020202020204" pitchFamily="34" charset="0"/>
            </a:rPr>
            <a:t> </a:t>
          </a:r>
          <a:r>
            <a:rPr lang="es-ES" sz="1100" b="1">
              <a:solidFill>
                <a:sysClr val="windowText" lastClr="000000"/>
              </a:solidFill>
              <a:latin typeface="Arial" panose="020B0604020202020204" pitchFamily="34" charset="0"/>
              <a:cs typeface="Arial" panose="020B0604020202020204" pitchFamily="34" charset="0"/>
            </a:rPr>
            <a:t>NO</a:t>
          </a:r>
          <a:r>
            <a:rPr lang="es-ES" sz="1100" b="1" baseline="0">
              <a:solidFill>
                <a:sysClr val="windowText" lastClr="000000"/>
              </a:solidFill>
              <a:latin typeface="Arial" panose="020B0604020202020204" pitchFamily="34" charset="0"/>
              <a:cs typeface="Arial" panose="020B0604020202020204" pitchFamily="34" charset="0"/>
            </a:rPr>
            <a:t> existe Supervisor Intermedio</a:t>
          </a:r>
          <a:endParaRPr lang="es-ES" sz="11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23</xdr:col>
      <xdr:colOff>394177</xdr:colOff>
      <xdr:row>54</xdr:row>
      <xdr:rowOff>50901</xdr:rowOff>
    </xdr:from>
    <xdr:to>
      <xdr:col>25</xdr:col>
      <xdr:colOff>307551</xdr:colOff>
      <xdr:row>57</xdr:row>
      <xdr:rowOff>43016</xdr:rowOff>
    </xdr:to>
    <xdr:sp macro="" textlink="">
      <xdr:nvSpPr>
        <xdr:cNvPr id="45" name="Rectángulo redondeado 44"/>
        <xdr:cNvSpPr/>
      </xdr:nvSpPr>
      <xdr:spPr>
        <a:xfrm>
          <a:off x="17920177" y="10337901"/>
          <a:ext cx="1437374" cy="563615"/>
        </a:xfrm>
        <a:prstGeom prst="roundRect">
          <a:avLst/>
        </a:prstGeom>
        <a:solidFill>
          <a:schemeClr val="bg1">
            <a:lumMod val="9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s-ES" sz="1100" b="0">
              <a:solidFill>
                <a:sysClr val="windowText" lastClr="000000"/>
              </a:solidFill>
              <a:latin typeface="Arial" panose="020B0604020202020204" pitchFamily="34" charset="0"/>
              <a:cs typeface="Arial" panose="020B0604020202020204" pitchFamily="34" charset="0"/>
            </a:rPr>
            <a:t>Ejemplo: </a:t>
          </a:r>
          <a:r>
            <a:rPr lang="es-ES" sz="1100" b="1">
              <a:solidFill>
                <a:sysClr val="windowText" lastClr="000000"/>
              </a:solidFill>
              <a:latin typeface="Arial" panose="020B0604020202020204" pitchFamily="34" charset="0"/>
              <a:cs typeface="Arial" panose="020B0604020202020204" pitchFamily="34" charset="0"/>
            </a:rPr>
            <a:t>Datos</a:t>
          </a:r>
          <a:r>
            <a:rPr lang="es-ES" sz="1100" b="1" baseline="0">
              <a:solidFill>
                <a:sysClr val="windowText" lastClr="000000"/>
              </a:solidFill>
              <a:latin typeface="Arial" panose="020B0604020202020204" pitchFamily="34" charset="0"/>
              <a:cs typeface="Arial" panose="020B0604020202020204" pitchFamily="34" charset="0"/>
            </a:rPr>
            <a:t> NO rellenados</a:t>
          </a:r>
          <a:endParaRPr lang="es-ES" sz="11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23</xdr:col>
      <xdr:colOff>394177</xdr:colOff>
      <xdr:row>58</xdr:row>
      <xdr:rowOff>70794</xdr:rowOff>
    </xdr:from>
    <xdr:to>
      <xdr:col>25</xdr:col>
      <xdr:colOff>1452345</xdr:colOff>
      <xdr:row>61</xdr:row>
      <xdr:rowOff>62909</xdr:rowOff>
    </xdr:to>
    <xdr:sp macro="" textlink="">
      <xdr:nvSpPr>
        <xdr:cNvPr id="46" name="Rectángulo redondeado 45"/>
        <xdr:cNvSpPr/>
      </xdr:nvSpPr>
      <xdr:spPr>
        <a:xfrm>
          <a:off x="17920177" y="11119794"/>
          <a:ext cx="1896368" cy="563615"/>
        </a:xfrm>
        <a:prstGeom prst="roundRect">
          <a:avLst/>
        </a:prstGeom>
        <a:solidFill>
          <a:schemeClr val="bg1">
            <a:lumMod val="9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s-ES" sz="1100" b="0">
              <a:solidFill>
                <a:sysClr val="windowText" lastClr="000000"/>
              </a:solidFill>
              <a:latin typeface="Arial" panose="020B0604020202020204" pitchFamily="34" charset="0"/>
              <a:cs typeface="Arial" panose="020B0604020202020204" pitchFamily="34" charset="0"/>
            </a:rPr>
            <a:t>Ejemplo: </a:t>
          </a:r>
          <a:r>
            <a:rPr lang="es-ES" sz="1100" b="1">
              <a:solidFill>
                <a:sysClr val="windowText" lastClr="000000"/>
              </a:solidFill>
              <a:latin typeface="Arial" panose="020B0604020202020204" pitchFamily="34" charset="0"/>
              <a:cs typeface="Arial" panose="020B0604020202020204" pitchFamily="34" charset="0"/>
            </a:rPr>
            <a:t>Tiene Nombre, pero falta</a:t>
          </a:r>
          <a:r>
            <a:rPr lang="es-ES" sz="1100" b="1" baseline="0">
              <a:solidFill>
                <a:sysClr val="windowText" lastClr="000000"/>
              </a:solidFill>
              <a:latin typeface="Arial" panose="020B0604020202020204" pitchFamily="34" charset="0"/>
              <a:cs typeface="Arial" panose="020B0604020202020204" pitchFamily="34" charset="0"/>
            </a:rPr>
            <a:t> DNI, por ello no tiene puntuación</a:t>
          </a:r>
          <a:endParaRPr lang="es-ES" sz="11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693881</xdr:colOff>
      <xdr:row>56</xdr:row>
      <xdr:rowOff>99578</xdr:rowOff>
    </xdr:from>
    <xdr:to>
      <xdr:col>23</xdr:col>
      <xdr:colOff>394177</xdr:colOff>
      <xdr:row>59</xdr:row>
      <xdr:rowOff>162102</xdr:rowOff>
    </xdr:to>
    <xdr:cxnSp macro="">
      <xdr:nvCxnSpPr>
        <xdr:cNvPr id="47" name="Conector recto de flecha 46"/>
        <xdr:cNvCxnSpPr>
          <a:stCxn id="46" idx="1"/>
        </xdr:cNvCxnSpPr>
      </xdr:nvCxnSpPr>
      <xdr:spPr>
        <a:xfrm flipH="1" flipV="1">
          <a:off x="17457881" y="10767578"/>
          <a:ext cx="462296" cy="634024"/>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394177</xdr:colOff>
      <xdr:row>62</xdr:row>
      <xdr:rowOff>146967</xdr:rowOff>
    </xdr:from>
    <xdr:to>
      <xdr:col>25</xdr:col>
      <xdr:colOff>1438563</xdr:colOff>
      <xdr:row>66</xdr:row>
      <xdr:rowOff>151533</xdr:rowOff>
    </xdr:to>
    <xdr:sp macro="" textlink="">
      <xdr:nvSpPr>
        <xdr:cNvPr id="48" name="Rectángulo redondeado 47"/>
        <xdr:cNvSpPr/>
      </xdr:nvSpPr>
      <xdr:spPr>
        <a:xfrm>
          <a:off x="17920177" y="11957967"/>
          <a:ext cx="1892111" cy="766566"/>
        </a:xfrm>
        <a:prstGeom prst="roundRect">
          <a:avLst/>
        </a:prstGeom>
        <a:solidFill>
          <a:schemeClr val="bg1">
            <a:lumMod val="9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s-ES" sz="1100" b="0">
              <a:solidFill>
                <a:sysClr val="windowText" lastClr="000000"/>
              </a:solidFill>
              <a:latin typeface="Arial" panose="020B0604020202020204" pitchFamily="34" charset="0"/>
              <a:cs typeface="Arial" panose="020B0604020202020204" pitchFamily="34" charset="0"/>
            </a:rPr>
            <a:t>Ejemplo: </a:t>
          </a:r>
          <a:r>
            <a:rPr lang="es-ES" sz="1100" b="1">
              <a:solidFill>
                <a:sysClr val="windowText" lastClr="000000"/>
              </a:solidFill>
              <a:latin typeface="Arial" panose="020B0604020202020204" pitchFamily="34" charset="0"/>
              <a:cs typeface="Arial" panose="020B0604020202020204" pitchFamily="34" charset="0"/>
            </a:rPr>
            <a:t>Tiene </a:t>
          </a:r>
          <a:r>
            <a:rPr lang="es-ES" sz="1100" b="1" baseline="0">
              <a:solidFill>
                <a:sysClr val="windowText" lastClr="000000"/>
              </a:solidFill>
              <a:latin typeface="Arial" panose="020B0604020202020204" pitchFamily="34" charset="0"/>
              <a:cs typeface="Arial" panose="020B0604020202020204" pitchFamily="34" charset="0"/>
            </a:rPr>
            <a:t>DNI, pero le falta Nombre. En este caso, sí se muestra su puntuación.</a:t>
          </a:r>
          <a:endParaRPr lang="es-ES" sz="11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16</xdr:col>
      <xdr:colOff>432111</xdr:colOff>
      <xdr:row>58</xdr:row>
      <xdr:rowOff>4324</xdr:rowOff>
    </xdr:from>
    <xdr:to>
      <xdr:col>23</xdr:col>
      <xdr:colOff>384079</xdr:colOff>
      <xdr:row>63</xdr:row>
      <xdr:rowOff>141907</xdr:rowOff>
    </xdr:to>
    <xdr:cxnSp macro="">
      <xdr:nvCxnSpPr>
        <xdr:cNvPr id="49" name="Conector recto de flecha 48"/>
        <xdr:cNvCxnSpPr/>
      </xdr:nvCxnSpPr>
      <xdr:spPr>
        <a:xfrm flipH="1" flipV="1">
          <a:off x="12624111" y="11053324"/>
          <a:ext cx="5285968" cy="1090083"/>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416647</xdr:colOff>
      <xdr:row>50</xdr:row>
      <xdr:rowOff>188311</xdr:rowOff>
    </xdr:from>
    <xdr:to>
      <xdr:col>22</xdr:col>
      <xdr:colOff>648663</xdr:colOff>
      <xdr:row>51</xdr:row>
      <xdr:rowOff>103644</xdr:rowOff>
    </xdr:to>
    <xdr:sp macro="" textlink="">
      <xdr:nvSpPr>
        <xdr:cNvPr id="50" name="Rectángulo redondeado 49"/>
        <xdr:cNvSpPr/>
      </xdr:nvSpPr>
      <xdr:spPr>
        <a:xfrm>
          <a:off x="11846647" y="9713311"/>
          <a:ext cx="5566016" cy="105833"/>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22</xdr:col>
      <xdr:colOff>532248</xdr:colOff>
      <xdr:row>51</xdr:row>
      <xdr:rowOff>67835</xdr:rowOff>
    </xdr:from>
    <xdr:to>
      <xdr:col>23</xdr:col>
      <xdr:colOff>394177</xdr:colOff>
      <xdr:row>51</xdr:row>
      <xdr:rowOff>127390</xdr:rowOff>
    </xdr:to>
    <xdr:cxnSp macro="">
      <xdr:nvCxnSpPr>
        <xdr:cNvPr id="51" name="Conector recto de flecha 50"/>
        <xdr:cNvCxnSpPr>
          <a:stCxn id="44" idx="1"/>
        </xdr:cNvCxnSpPr>
      </xdr:nvCxnSpPr>
      <xdr:spPr>
        <a:xfrm flipH="1" flipV="1">
          <a:off x="17296248" y="9783335"/>
          <a:ext cx="623929" cy="59555"/>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669830</xdr:colOff>
      <xdr:row>55</xdr:row>
      <xdr:rowOff>141907</xdr:rowOff>
    </xdr:from>
    <xdr:to>
      <xdr:col>23</xdr:col>
      <xdr:colOff>394177</xdr:colOff>
      <xdr:row>55</xdr:row>
      <xdr:rowOff>142209</xdr:rowOff>
    </xdr:to>
    <xdr:cxnSp macro="">
      <xdr:nvCxnSpPr>
        <xdr:cNvPr id="52" name="Conector recto de flecha 51"/>
        <xdr:cNvCxnSpPr>
          <a:stCxn id="45" idx="1"/>
        </xdr:cNvCxnSpPr>
      </xdr:nvCxnSpPr>
      <xdr:spPr>
        <a:xfrm flipH="1" flipV="1">
          <a:off x="17433830" y="10619407"/>
          <a:ext cx="486347" cy="302"/>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410297</xdr:colOff>
      <xdr:row>55</xdr:row>
      <xdr:rowOff>93224</xdr:rowOff>
    </xdr:from>
    <xdr:to>
      <xdr:col>22</xdr:col>
      <xdr:colOff>642313</xdr:colOff>
      <xdr:row>56</xdr:row>
      <xdr:rowOff>8557</xdr:rowOff>
    </xdr:to>
    <xdr:sp macro="" textlink="">
      <xdr:nvSpPr>
        <xdr:cNvPr id="53" name="Rectángulo redondeado 52"/>
        <xdr:cNvSpPr/>
      </xdr:nvSpPr>
      <xdr:spPr>
        <a:xfrm>
          <a:off x="11840297" y="10570724"/>
          <a:ext cx="5566016" cy="105833"/>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15</xdr:col>
      <xdr:colOff>406226</xdr:colOff>
      <xdr:row>56</xdr:row>
      <xdr:rowOff>57405</xdr:rowOff>
    </xdr:from>
    <xdr:to>
      <xdr:col>22</xdr:col>
      <xdr:colOff>638242</xdr:colOff>
      <xdr:row>56</xdr:row>
      <xdr:rowOff>163238</xdr:rowOff>
    </xdr:to>
    <xdr:sp macro="" textlink="">
      <xdr:nvSpPr>
        <xdr:cNvPr id="54" name="Rectángulo redondeado 53"/>
        <xdr:cNvSpPr/>
      </xdr:nvSpPr>
      <xdr:spPr>
        <a:xfrm>
          <a:off x="11836226" y="10725405"/>
          <a:ext cx="5566016" cy="105833"/>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15</xdr:col>
      <xdr:colOff>0</xdr:colOff>
      <xdr:row>41</xdr:row>
      <xdr:rowOff>0</xdr:rowOff>
    </xdr:from>
    <xdr:to>
      <xdr:col>16</xdr:col>
      <xdr:colOff>382155</xdr:colOff>
      <xdr:row>45</xdr:row>
      <xdr:rowOff>60613</xdr:rowOff>
    </xdr:to>
    <xdr:grpSp>
      <xdr:nvGrpSpPr>
        <xdr:cNvPr id="55" name="Grupo 54"/>
        <xdr:cNvGrpSpPr/>
      </xdr:nvGrpSpPr>
      <xdr:grpSpPr>
        <a:xfrm>
          <a:off x="9822656" y="7524750"/>
          <a:ext cx="1144155" cy="822613"/>
          <a:chOff x="11473295" y="164523"/>
          <a:chExt cx="1108364" cy="822613"/>
        </a:xfrm>
      </xdr:grpSpPr>
      <xdr:sp macro="" textlink="">
        <xdr:nvSpPr>
          <xdr:cNvPr id="56" name="Rectángulo redondeado 55"/>
          <xdr:cNvSpPr/>
        </xdr:nvSpPr>
        <xdr:spPr>
          <a:xfrm>
            <a:off x="11473295" y="467591"/>
            <a:ext cx="1108364" cy="519545"/>
          </a:xfrm>
          <a:prstGeom prst="round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a:solidFill>
                  <a:sysClr val="windowText" lastClr="000000"/>
                </a:solidFill>
              </a:rPr>
              <a:t>Herramienta</a:t>
            </a:r>
          </a:p>
          <a:p>
            <a:pPr algn="ctr"/>
            <a:r>
              <a:rPr lang="es-ES" sz="1100" b="1">
                <a:solidFill>
                  <a:srgbClr val="00B050"/>
                </a:solidFill>
                <a:latin typeface="Arial" panose="020B0604020202020204" pitchFamily="34" charset="0"/>
                <a:cs typeface="Arial" panose="020B0604020202020204" pitchFamily="34" charset="0"/>
              </a:rPr>
              <a:t>OBJETIVOS</a:t>
            </a:r>
          </a:p>
        </xdr:txBody>
      </xdr:sp>
      <xdr:sp macro="" textlink="">
        <xdr:nvSpPr>
          <xdr:cNvPr id="57" name="Elipse 56"/>
          <xdr:cNvSpPr/>
        </xdr:nvSpPr>
        <xdr:spPr>
          <a:xfrm>
            <a:off x="11776363" y="164523"/>
            <a:ext cx="450274" cy="389659"/>
          </a:xfrm>
          <a:prstGeom prst="ellipse">
            <a:avLst/>
          </a:prstGeom>
          <a:solidFill>
            <a:schemeClr val="bg1"/>
          </a:solid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ysClr val="windowText" lastClr="000000"/>
                </a:solidFill>
                <a:latin typeface="Arial" panose="020B0604020202020204" pitchFamily="34" charset="0"/>
                <a:cs typeface="Arial" panose="020B0604020202020204" pitchFamily="34" charset="0"/>
              </a:rPr>
              <a:t>1º</a:t>
            </a:r>
          </a:p>
        </xdr:txBody>
      </xdr:sp>
    </xdr:grpSp>
    <xdr:clientData/>
  </xdr:twoCellAnchor>
  <xdr:twoCellAnchor>
    <xdr:from>
      <xdr:col>16</xdr:col>
      <xdr:colOff>757383</xdr:colOff>
      <xdr:row>42</xdr:row>
      <xdr:rowOff>158456</xdr:rowOff>
    </xdr:from>
    <xdr:to>
      <xdr:col>20</xdr:col>
      <xdr:colOff>269586</xdr:colOff>
      <xdr:row>44</xdr:row>
      <xdr:rowOff>160191</xdr:rowOff>
    </xdr:to>
    <xdr:sp macro="" textlink="">
      <xdr:nvSpPr>
        <xdr:cNvPr id="58" name="Rectángulo redondeado 57"/>
        <xdr:cNvSpPr/>
      </xdr:nvSpPr>
      <xdr:spPr>
        <a:xfrm>
          <a:off x="12949383" y="8159456"/>
          <a:ext cx="2560203" cy="382735"/>
        </a:xfrm>
        <a:prstGeom prst="roundRect">
          <a:avLst/>
        </a:prstGeom>
        <a:solidFill>
          <a:schemeClr val="bg1">
            <a:lumMod val="95000"/>
          </a:scheme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0">
              <a:solidFill>
                <a:sysClr val="windowText" lastClr="000000"/>
              </a:solidFill>
              <a:latin typeface="Arial" panose="020B0604020202020204" pitchFamily="34" charset="0"/>
              <a:cs typeface="Arial" panose="020B0604020202020204" pitchFamily="34" charset="0"/>
            </a:rPr>
            <a:t>Hoja: </a:t>
          </a:r>
          <a:r>
            <a:rPr lang="es-ES" sz="1100" b="1">
              <a:solidFill>
                <a:sysClr val="windowText" lastClr="000000"/>
              </a:solidFill>
              <a:latin typeface="Arial" panose="020B0604020202020204" pitchFamily="34" charset="0"/>
              <a:cs typeface="Arial" panose="020B0604020202020204" pitchFamily="34" charset="0"/>
            </a:rPr>
            <a:t>RESULTADOS_OBJETIVOS</a:t>
          </a:r>
        </a:p>
      </xdr:txBody>
    </xdr:sp>
    <xdr:clientData/>
  </xdr:twoCellAnchor>
  <xdr:twoCellAnchor>
    <xdr:from>
      <xdr:col>15</xdr:col>
      <xdr:colOff>121704</xdr:colOff>
      <xdr:row>76</xdr:row>
      <xdr:rowOff>59531</xdr:rowOff>
    </xdr:from>
    <xdr:to>
      <xdr:col>18</xdr:col>
      <xdr:colOff>297656</xdr:colOff>
      <xdr:row>78</xdr:row>
      <xdr:rowOff>113255</xdr:rowOff>
    </xdr:to>
    <xdr:sp macro="" textlink="">
      <xdr:nvSpPr>
        <xdr:cNvPr id="59" name="Rectángulo redondeado 58"/>
        <xdr:cNvSpPr/>
      </xdr:nvSpPr>
      <xdr:spPr>
        <a:xfrm>
          <a:off x="11551704" y="14537531"/>
          <a:ext cx="2461952" cy="434724"/>
        </a:xfrm>
        <a:prstGeom prst="roundRect">
          <a:avLst/>
        </a:prstGeom>
        <a:solidFill>
          <a:schemeClr val="bg1">
            <a:lumMod val="9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s-ES" sz="1200" b="0">
              <a:solidFill>
                <a:sysClr val="windowText" lastClr="000000"/>
              </a:solidFill>
              <a:latin typeface="Arial" panose="020B0604020202020204" pitchFamily="34" charset="0"/>
              <a:cs typeface="Arial" panose="020B0604020202020204" pitchFamily="34" charset="0"/>
            </a:rPr>
            <a:t>Nos lleva</a:t>
          </a:r>
          <a:r>
            <a:rPr lang="es-ES" sz="1200" b="0" baseline="0">
              <a:solidFill>
                <a:sysClr val="windowText" lastClr="000000"/>
              </a:solidFill>
              <a:latin typeface="Arial" panose="020B0604020202020204" pitchFamily="34" charset="0"/>
              <a:cs typeface="Arial" panose="020B0604020202020204" pitchFamily="34" charset="0"/>
            </a:rPr>
            <a:t> a esa hoja de cálculo</a:t>
          </a:r>
          <a:r>
            <a:rPr lang="es-ES" sz="1100" b="0" baseline="0">
              <a:solidFill>
                <a:sysClr val="windowText" lastClr="000000"/>
              </a:solidFill>
              <a:latin typeface="Arial" panose="020B0604020202020204" pitchFamily="34" charset="0"/>
              <a:cs typeface="Arial" panose="020B0604020202020204" pitchFamily="34" charset="0"/>
            </a:rPr>
            <a:t>.</a:t>
          </a:r>
          <a:endParaRPr lang="es-ES" sz="1100" b="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18</xdr:col>
      <xdr:colOff>669451</xdr:colOff>
      <xdr:row>76</xdr:row>
      <xdr:rowOff>116398</xdr:rowOff>
    </xdr:from>
    <xdr:to>
      <xdr:col>24</xdr:col>
      <xdr:colOff>453570</xdr:colOff>
      <xdr:row>78</xdr:row>
      <xdr:rowOff>113255</xdr:rowOff>
    </xdr:to>
    <xdr:sp macro="" textlink="">
      <xdr:nvSpPr>
        <xdr:cNvPr id="60" name="Rectángulo redondeado 59"/>
        <xdr:cNvSpPr/>
      </xdr:nvSpPr>
      <xdr:spPr>
        <a:xfrm>
          <a:off x="14385451" y="14594398"/>
          <a:ext cx="4356119" cy="377857"/>
        </a:xfrm>
        <a:prstGeom prst="roundRect">
          <a:avLst/>
        </a:prstGeom>
        <a:solidFill>
          <a:schemeClr val="bg1">
            <a:lumMod val="9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0">
              <a:solidFill>
                <a:sysClr val="windowText" lastClr="000000"/>
              </a:solidFill>
              <a:latin typeface="Arial" panose="020B0604020202020204" pitchFamily="34" charset="0"/>
              <a:cs typeface="Arial" panose="020B0604020202020204" pitchFamily="34" charset="0"/>
            </a:rPr>
            <a:t>Este listado se muestra según el orden de las hojas de cálculo.</a:t>
          </a:r>
        </a:p>
      </xdr:txBody>
    </xdr:sp>
    <xdr:clientData/>
  </xdr:twoCellAnchor>
  <xdr:twoCellAnchor>
    <xdr:from>
      <xdr:col>18</xdr:col>
      <xdr:colOff>650587</xdr:colOff>
      <xdr:row>75</xdr:row>
      <xdr:rowOff>90921</xdr:rowOff>
    </xdr:from>
    <xdr:to>
      <xdr:col>19</xdr:col>
      <xdr:colOff>38100</xdr:colOff>
      <xdr:row>76</xdr:row>
      <xdr:rowOff>152400</xdr:rowOff>
    </xdr:to>
    <xdr:cxnSp macro="">
      <xdr:nvCxnSpPr>
        <xdr:cNvPr id="61" name="Conector recto de flecha 60"/>
        <xdr:cNvCxnSpPr/>
      </xdr:nvCxnSpPr>
      <xdr:spPr>
        <a:xfrm flipH="1" flipV="1">
          <a:off x="14366587" y="14378421"/>
          <a:ext cx="149513" cy="251979"/>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517967</xdr:colOff>
      <xdr:row>41</xdr:row>
      <xdr:rowOff>29561</xdr:rowOff>
    </xdr:from>
    <xdr:to>
      <xdr:col>25</xdr:col>
      <xdr:colOff>1479992</xdr:colOff>
      <xdr:row>43</xdr:row>
      <xdr:rowOff>125637</xdr:rowOff>
    </xdr:to>
    <xdr:sp macro="" textlink="">
      <xdr:nvSpPr>
        <xdr:cNvPr id="62" name="Rectángulo redondeado 61"/>
        <xdr:cNvSpPr/>
      </xdr:nvSpPr>
      <xdr:spPr>
        <a:xfrm>
          <a:off x="16519967" y="7840061"/>
          <a:ext cx="3295650" cy="477076"/>
        </a:xfrm>
        <a:prstGeom prst="roundRect">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0">
              <a:solidFill>
                <a:schemeClr val="bg1"/>
              </a:solidFill>
              <a:latin typeface="Arial" panose="020B0604020202020204" pitchFamily="34" charset="0"/>
              <a:cs typeface="Arial" panose="020B0604020202020204" pitchFamily="34" charset="0"/>
            </a:rPr>
            <a:t>Esta hoja de cálculo se actualiza y genera automáticamente.</a:t>
          </a:r>
          <a:endParaRPr lang="es-ES" sz="1100" b="0" baseline="0">
            <a:solidFill>
              <a:schemeClr val="bg1"/>
            </a:solidFill>
            <a:latin typeface="Arial" panose="020B0604020202020204" pitchFamily="34" charset="0"/>
            <a:cs typeface="Arial" panose="020B0604020202020204" pitchFamily="34" charset="0"/>
          </a:endParaRPr>
        </a:p>
        <a:p>
          <a:pPr algn="ctr"/>
          <a:r>
            <a:rPr lang="es-ES" sz="1100" b="0" baseline="0">
              <a:solidFill>
                <a:schemeClr val="bg1"/>
              </a:solidFill>
              <a:latin typeface="Arial" panose="020B0604020202020204" pitchFamily="34" charset="0"/>
              <a:cs typeface="Arial" panose="020B0604020202020204" pitchFamily="34" charset="0"/>
            </a:rPr>
            <a:t>Resumen de todos los empleados del programa.</a:t>
          </a:r>
          <a:endParaRPr lang="es-ES" sz="1100" b="0">
            <a:solidFill>
              <a:schemeClr val="bg1"/>
            </a:solidFill>
            <a:latin typeface="Arial" panose="020B0604020202020204" pitchFamily="34" charset="0"/>
            <a:cs typeface="Arial" panose="020B0604020202020204" pitchFamily="34" charset="0"/>
          </a:endParaRPr>
        </a:p>
      </xdr:txBody>
    </xdr:sp>
    <xdr:clientData/>
  </xdr:twoCellAnchor>
  <xdr:twoCellAnchor>
    <xdr:from>
      <xdr:col>21</xdr:col>
      <xdr:colOff>356511</xdr:colOff>
      <xdr:row>1</xdr:row>
      <xdr:rowOff>58008</xdr:rowOff>
    </xdr:from>
    <xdr:to>
      <xdr:col>25</xdr:col>
      <xdr:colOff>1426939</xdr:colOff>
      <xdr:row>5</xdr:row>
      <xdr:rowOff>43542</xdr:rowOff>
    </xdr:to>
    <xdr:sp macro="" textlink="">
      <xdr:nvSpPr>
        <xdr:cNvPr id="63" name="Rectángulo redondeado 62"/>
        <xdr:cNvSpPr/>
      </xdr:nvSpPr>
      <xdr:spPr>
        <a:xfrm>
          <a:off x="16358511" y="248508"/>
          <a:ext cx="3451678" cy="747534"/>
        </a:xfrm>
        <a:prstGeom prst="roundRect">
          <a:avLst/>
        </a:prstGeom>
        <a:solidFill>
          <a:schemeClr val="bg1">
            <a:lumMod val="8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ES" sz="1400" b="0">
              <a:solidFill>
                <a:sysClr val="windowText" lastClr="000000"/>
              </a:solidFill>
              <a:latin typeface="Wingdings" panose="05000000000000000000" pitchFamily="2" charset="2"/>
              <a:cs typeface="Arial" panose="020B0604020202020204" pitchFamily="34" charset="0"/>
            </a:rPr>
            <a:t> </a:t>
          </a:r>
          <a:r>
            <a:rPr lang="es-ES" sz="1100" b="0">
              <a:solidFill>
                <a:sysClr val="windowText" lastClr="000000"/>
              </a:solidFill>
              <a:latin typeface="Arial" panose="020B0604020202020204" pitchFamily="34" charset="0"/>
              <a:cs typeface="Arial" panose="020B0604020202020204" pitchFamily="34" charset="0"/>
            </a:rPr>
            <a:t>Rellenar solo las celdas sombreadas en color </a:t>
          </a:r>
          <a:r>
            <a:rPr lang="es-ES" sz="1100" b="1">
              <a:solidFill>
                <a:schemeClr val="bg1">
                  <a:lumMod val="50000"/>
                </a:schemeClr>
              </a:solidFill>
              <a:latin typeface="Arial" panose="020B0604020202020204" pitchFamily="34" charset="0"/>
              <a:cs typeface="Arial" panose="020B0604020202020204" pitchFamily="34" charset="0"/>
            </a:rPr>
            <a:t>GRIS</a:t>
          </a:r>
          <a:r>
            <a:rPr lang="es-ES" sz="1100" b="0">
              <a:solidFill>
                <a:sysClr val="windowText" lastClr="000000"/>
              </a:solidFill>
              <a:latin typeface="Arial" panose="020B0604020202020204" pitchFamily="34" charset="0"/>
              <a:cs typeface="Arial" panose="020B0604020202020204" pitchFamily="34" charset="0"/>
            </a:rPr>
            <a:t>.</a:t>
          </a:r>
          <a:br>
            <a:rPr lang="es-ES" sz="1100" b="0">
              <a:solidFill>
                <a:sysClr val="windowText" lastClr="000000"/>
              </a:solidFill>
              <a:latin typeface="Arial" panose="020B0604020202020204" pitchFamily="34" charset="0"/>
              <a:cs typeface="Arial" panose="020B0604020202020204" pitchFamily="34" charset="0"/>
            </a:rPr>
          </a:br>
          <a:r>
            <a:rPr lang="es-ES" sz="1100" b="0">
              <a:solidFill>
                <a:sysClr val="windowText" lastClr="000000"/>
              </a:solidFill>
              <a:latin typeface="Arial" panose="020B0604020202020204" pitchFamily="34" charset="0"/>
              <a:cs typeface="Arial" panose="020B0604020202020204" pitchFamily="34" charset="0"/>
            </a:rPr>
            <a:t>Las celdas aparecerán resaltadas en </a:t>
          </a:r>
          <a:r>
            <a:rPr lang="es-ES" sz="1100" b="1">
              <a:solidFill>
                <a:srgbClr val="FF0000"/>
              </a:solidFill>
              <a:latin typeface="Arial" panose="020B0604020202020204" pitchFamily="34" charset="0"/>
              <a:cs typeface="Arial" panose="020B0604020202020204" pitchFamily="34" charset="0"/>
            </a:rPr>
            <a:t>ROJO</a:t>
          </a:r>
          <a:r>
            <a:rPr lang="es-ES" sz="1100" b="0">
              <a:solidFill>
                <a:sysClr val="windowText" lastClr="000000"/>
              </a:solidFill>
              <a:latin typeface="Arial" panose="020B0604020202020204" pitchFamily="34" charset="0"/>
              <a:cs typeface="Arial" panose="020B0604020202020204" pitchFamily="34" charset="0"/>
            </a:rPr>
            <a:t> si no se cumple lo marcado en el "Reglamento de la ED".</a:t>
          </a:r>
        </a:p>
      </xdr:txBody>
    </xdr:sp>
    <xdr:clientData/>
  </xdr:twoCellAnchor>
  <xdr:twoCellAnchor>
    <xdr:from>
      <xdr:col>8</xdr:col>
      <xdr:colOff>300260</xdr:colOff>
      <xdr:row>41</xdr:row>
      <xdr:rowOff>1766</xdr:rowOff>
    </xdr:from>
    <xdr:to>
      <xdr:col>13</xdr:col>
      <xdr:colOff>608688</xdr:colOff>
      <xdr:row>44</xdr:row>
      <xdr:rowOff>168728</xdr:rowOff>
    </xdr:to>
    <xdr:sp macro="" textlink="">
      <xdr:nvSpPr>
        <xdr:cNvPr id="64" name="Rectángulo redondeado 63"/>
        <xdr:cNvSpPr/>
      </xdr:nvSpPr>
      <xdr:spPr>
        <a:xfrm>
          <a:off x="6396260" y="7812266"/>
          <a:ext cx="4118428" cy="738462"/>
        </a:xfrm>
        <a:prstGeom prst="roundRect">
          <a:avLst/>
        </a:prstGeom>
        <a:solidFill>
          <a:schemeClr val="bg1">
            <a:lumMod val="8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ES" sz="1400" b="0">
              <a:solidFill>
                <a:sysClr val="windowText" lastClr="000000"/>
              </a:solidFill>
              <a:latin typeface="Wingdings" panose="05000000000000000000" pitchFamily="2" charset="2"/>
              <a:cs typeface="Arial" panose="020B0604020202020204" pitchFamily="34" charset="0"/>
            </a:rPr>
            <a:t> </a:t>
          </a:r>
          <a:r>
            <a:rPr lang="es-ES" sz="1100" b="0">
              <a:solidFill>
                <a:sysClr val="windowText" lastClr="000000"/>
              </a:solidFill>
              <a:latin typeface="Arial" panose="020B0604020202020204" pitchFamily="34" charset="0"/>
              <a:cs typeface="Arial" panose="020B0604020202020204" pitchFamily="34" charset="0"/>
            </a:rPr>
            <a:t>Rellenar solo las celdas sombreadas en color </a:t>
          </a:r>
          <a:r>
            <a:rPr lang="es-ES" sz="1100" b="1">
              <a:solidFill>
                <a:schemeClr val="bg1">
                  <a:lumMod val="50000"/>
                </a:schemeClr>
              </a:solidFill>
              <a:latin typeface="Arial" panose="020B0604020202020204" pitchFamily="34" charset="0"/>
              <a:cs typeface="Arial" panose="020B0604020202020204" pitchFamily="34" charset="0"/>
            </a:rPr>
            <a:t>GRIS</a:t>
          </a:r>
          <a:r>
            <a:rPr lang="es-ES" sz="1100" b="0">
              <a:solidFill>
                <a:sysClr val="windowText" lastClr="000000"/>
              </a:solidFill>
              <a:latin typeface="Arial" panose="020B0604020202020204" pitchFamily="34" charset="0"/>
              <a:cs typeface="Arial" panose="020B0604020202020204" pitchFamily="34" charset="0"/>
            </a:rPr>
            <a:t>.</a:t>
          </a:r>
          <a:br>
            <a:rPr lang="es-ES" sz="1100" b="0">
              <a:solidFill>
                <a:sysClr val="windowText" lastClr="000000"/>
              </a:solidFill>
              <a:latin typeface="Arial" panose="020B0604020202020204" pitchFamily="34" charset="0"/>
              <a:cs typeface="Arial" panose="020B0604020202020204" pitchFamily="34" charset="0"/>
            </a:rPr>
          </a:br>
          <a:r>
            <a:rPr lang="es-ES" sz="1100" b="0">
              <a:solidFill>
                <a:sysClr val="windowText" lastClr="000000"/>
              </a:solidFill>
              <a:latin typeface="Arial" panose="020B0604020202020204" pitchFamily="34" charset="0"/>
              <a:cs typeface="Arial" panose="020B0604020202020204" pitchFamily="34" charset="0"/>
            </a:rPr>
            <a:t>Las celdas aparecerán resaltadas en </a:t>
          </a:r>
          <a:r>
            <a:rPr lang="es-ES" sz="1100" b="1">
              <a:solidFill>
                <a:srgbClr val="FF0000"/>
              </a:solidFill>
              <a:latin typeface="Arial" panose="020B0604020202020204" pitchFamily="34" charset="0"/>
              <a:cs typeface="Arial" panose="020B0604020202020204" pitchFamily="34" charset="0"/>
            </a:rPr>
            <a:t>ROJO</a:t>
          </a:r>
          <a:r>
            <a:rPr lang="es-ES" sz="1100" b="0">
              <a:solidFill>
                <a:sysClr val="windowText" lastClr="000000"/>
              </a:solidFill>
              <a:latin typeface="Arial" panose="020B0604020202020204" pitchFamily="34" charset="0"/>
              <a:cs typeface="Arial" panose="020B0604020202020204" pitchFamily="34" charset="0"/>
            </a:rPr>
            <a:t> si no se cumple lo marcado en el "Reglamento de la ED".</a:t>
          </a:r>
        </a:p>
      </xdr:txBody>
    </xdr:sp>
    <xdr:clientData/>
  </xdr:twoCellAnchor>
  <xdr:twoCellAnchor>
    <xdr:from>
      <xdr:col>15</xdr:col>
      <xdr:colOff>536094</xdr:colOff>
      <xdr:row>75</xdr:row>
      <xdr:rowOff>78662</xdr:rowOff>
    </xdr:from>
    <xdr:to>
      <xdr:col>15</xdr:col>
      <xdr:colOff>546677</xdr:colOff>
      <xdr:row>76</xdr:row>
      <xdr:rowOff>183700</xdr:rowOff>
    </xdr:to>
    <xdr:cxnSp macro="">
      <xdr:nvCxnSpPr>
        <xdr:cNvPr id="65" name="Conector recto de flecha 64"/>
        <xdr:cNvCxnSpPr/>
      </xdr:nvCxnSpPr>
      <xdr:spPr>
        <a:xfrm flipV="1">
          <a:off x="11966094" y="14366162"/>
          <a:ext cx="10583" cy="295538"/>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47624</xdr:colOff>
      <xdr:row>80</xdr:row>
      <xdr:rowOff>31750</xdr:rowOff>
    </xdr:from>
    <xdr:to>
      <xdr:col>13</xdr:col>
      <xdr:colOff>555625</xdr:colOff>
      <xdr:row>115</xdr:row>
      <xdr:rowOff>111125</xdr:rowOff>
    </xdr:to>
    <xdr:sp macro="" textlink="">
      <xdr:nvSpPr>
        <xdr:cNvPr id="66" name="CuadroTexto 65"/>
        <xdr:cNvSpPr txBox="1"/>
      </xdr:nvSpPr>
      <xdr:spPr>
        <a:xfrm>
          <a:off x="809624" y="15271750"/>
          <a:ext cx="9652001" cy="6746875"/>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6350" indent="-6350" algn="just">
            <a:lnSpc>
              <a:spcPct val="106000"/>
            </a:lnSpc>
            <a:spcAft>
              <a:spcPts val="0"/>
            </a:spcAft>
          </a:pPr>
          <a:r>
            <a:rPr lang="es-ES" sz="1100">
              <a:solidFill>
                <a:srgbClr val="000000"/>
              </a:solidFill>
              <a:effectLst/>
              <a:latin typeface="Calibri" panose="020F0502020204030204" pitchFamily="34" charset="0"/>
              <a:ea typeface="Calibri" panose="020F0502020204030204" pitchFamily="34" charset="0"/>
            </a:rPr>
            <a:t>¿</a:t>
          </a:r>
          <a:r>
            <a:rPr lang="es-ES" sz="1100">
              <a:solidFill>
                <a:srgbClr val="000000"/>
              </a:solidFill>
              <a:effectLst/>
              <a:latin typeface="Calibri" panose="020F0502020204030204" pitchFamily="34" charset="0"/>
              <a:ea typeface="Times New Roman" panose="02020603050405020304" pitchFamily="18" charset="0"/>
            </a:rPr>
            <a:t>QU</a:t>
          </a:r>
          <a:r>
            <a:rPr lang="es-ES" sz="1100">
              <a:solidFill>
                <a:srgbClr val="000000"/>
              </a:solidFill>
              <a:effectLst/>
              <a:latin typeface="Calibri" panose="020F0502020204030204" pitchFamily="34" charset="0"/>
              <a:ea typeface="Calibri" panose="020F0502020204030204" pitchFamily="34" charset="0"/>
            </a:rPr>
            <a:t>É</a:t>
          </a:r>
          <a:r>
            <a:rPr lang="es-ES" sz="1100">
              <a:solidFill>
                <a:srgbClr val="000000"/>
              </a:solidFill>
              <a:effectLst/>
              <a:latin typeface="Calibri" panose="020F0502020204030204" pitchFamily="34" charset="0"/>
              <a:ea typeface="Times New Roman" panose="02020603050405020304" pitchFamily="18" charset="0"/>
            </a:rPr>
            <a:t> SON LAS BOLSAS</a:t>
          </a:r>
          <a:r>
            <a:rPr lang="es-ES" sz="1100">
              <a:solidFill>
                <a:srgbClr val="000000"/>
              </a:solidFill>
              <a:effectLst/>
              <a:latin typeface="Calibri" panose="020F0502020204030204" pitchFamily="34" charset="0"/>
              <a:ea typeface="Calibri" panose="020F0502020204030204" pitchFamily="34" charset="0"/>
            </a:rPr>
            <a:t>?</a:t>
          </a:r>
          <a:r>
            <a:rPr lang="es-ES" sz="1100">
              <a:solidFill>
                <a:srgbClr val="000000"/>
              </a:solidFill>
              <a:effectLst/>
              <a:latin typeface="Calibri" panose="020F0502020204030204" pitchFamily="34" charset="0"/>
              <a:ea typeface="Times New Roman" panose="02020603050405020304" pitchFamily="18" charset="0"/>
            </a:rPr>
            <a:t> </a:t>
          </a:r>
          <a:endParaRPr lang="es-ES" sz="1100">
            <a:solidFill>
              <a:srgbClr val="000000"/>
            </a:solidFill>
            <a:effectLst/>
            <a:latin typeface="Times New Roman" panose="02020603050405020304" pitchFamily="18" charset="0"/>
            <a:ea typeface="Times New Roman" panose="02020603050405020304" pitchFamily="18" charset="0"/>
          </a:endParaRPr>
        </a:p>
        <a:p>
          <a:pPr marL="6350" indent="-6350" algn="just">
            <a:lnSpc>
              <a:spcPct val="106000"/>
            </a:lnSpc>
            <a:spcAft>
              <a:spcPts val="0"/>
            </a:spcAft>
          </a:pPr>
          <a:r>
            <a:rPr lang="es-ES" sz="1100">
              <a:solidFill>
                <a:srgbClr val="000000"/>
              </a:solidFill>
              <a:effectLst/>
              <a:latin typeface="Calibri Light" panose="020F0302020204030204" pitchFamily="34" charset="0"/>
              <a:ea typeface="Times New Roman" panose="02020603050405020304" pitchFamily="18" charset="0"/>
            </a:rPr>
            <a:t>No todos los empleados tienen el mismo tiempo de prestación de servicios ni la misma jornada laboral durante el año, lo que naturalmente genera diferencias en el cálculo de las cuantías individuales. Para evitar que el importe no asignado quede sin distribuir, se crean las bolsas como fondo común que permite reaprovechar ese excedente.  Por ejemplo, un empleado que ha trabajado todo el año a jornada completa tendrá un coeficiente único igual a 1, lo que significa que no genera excedente: se le asigna la cuantía completa que le corresponde. En cambio, si otro empleado ha trabajado solo seis meses o ha tenido una jornada reducida, su coeficiente será menor que 1, y el importe no asignado por esa diferencia se redistribuye a través de las bolsas. </a:t>
          </a:r>
          <a:endParaRPr lang="es-ES" sz="1100">
            <a:solidFill>
              <a:srgbClr val="000000"/>
            </a:solidFill>
            <a:effectLst/>
            <a:latin typeface="Times New Roman" panose="02020603050405020304" pitchFamily="18" charset="0"/>
            <a:ea typeface="Times New Roman" panose="02020603050405020304" pitchFamily="18" charset="0"/>
          </a:endParaRPr>
        </a:p>
        <a:p>
          <a:pPr marL="6350" indent="-6350" algn="just">
            <a:lnSpc>
              <a:spcPct val="106000"/>
            </a:lnSpc>
            <a:spcAft>
              <a:spcPts val="0"/>
            </a:spcAft>
          </a:pPr>
          <a:r>
            <a:rPr lang="es-ES" sz="1100">
              <a:solidFill>
                <a:srgbClr val="000000"/>
              </a:solidFill>
              <a:effectLst/>
              <a:latin typeface="Calibri Light" panose="020F0302020204030204" pitchFamily="34" charset="0"/>
              <a:ea typeface="Times New Roman" panose="02020603050405020304" pitchFamily="18" charset="0"/>
            </a:rPr>
            <a:t>Este excedente puede surgir por varias razones: </a:t>
          </a:r>
          <a:endParaRPr lang="es-ES" sz="1100">
            <a:solidFill>
              <a:srgbClr val="000000"/>
            </a:solidFill>
            <a:effectLst/>
            <a:latin typeface="Times New Roman" panose="02020603050405020304" pitchFamily="18" charset="0"/>
            <a:ea typeface="Times New Roman" panose="02020603050405020304" pitchFamily="18"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Finalización de contrato/nombramiento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Jubilación Total o Parcial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Reducción voluntaria de jornada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Situaciones administrativas que afectan el cómputo, entre otras.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6350" indent="-6350" algn="just">
            <a:lnSpc>
              <a:spcPct val="106000"/>
            </a:lnSpc>
            <a:spcAft>
              <a:spcPts val="0"/>
            </a:spcAft>
          </a:pPr>
          <a:endParaRPr lang="es-ES" sz="1100">
            <a:solidFill>
              <a:srgbClr val="000000"/>
            </a:solidFill>
            <a:effectLst/>
            <a:latin typeface="Calibri Light" panose="020F0302020204030204" pitchFamily="34" charset="0"/>
            <a:ea typeface="Times New Roman" panose="02020603050405020304" pitchFamily="18" charset="0"/>
          </a:endParaRPr>
        </a:p>
        <a:p>
          <a:pPr marL="6350" indent="-6350" algn="just">
            <a:lnSpc>
              <a:spcPct val="106000"/>
            </a:lnSpc>
            <a:spcAft>
              <a:spcPts val="0"/>
            </a:spcAft>
          </a:pPr>
          <a:r>
            <a:rPr lang="es-ES" sz="1100">
              <a:solidFill>
                <a:srgbClr val="000000"/>
              </a:solidFill>
              <a:effectLst/>
              <a:latin typeface="Calibri Light" panose="020F0302020204030204" pitchFamily="34" charset="0"/>
              <a:ea typeface="Times New Roman" panose="02020603050405020304" pitchFamily="18" charset="0"/>
            </a:rPr>
            <a:t>Dependiendo del tipo de situación, ese importe no asignado se redistribuye en una de dos vías: </a:t>
          </a:r>
          <a:endParaRPr lang="es-ES" sz="1100">
            <a:solidFill>
              <a:srgbClr val="000000"/>
            </a:solidFill>
            <a:effectLst/>
            <a:latin typeface="Times New Roman" panose="02020603050405020304" pitchFamily="18" charset="0"/>
            <a:ea typeface="Times New Roman" panose="02020603050405020304" pitchFamily="18"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b="1"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Bolsa general del Ayuntamiento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b="1"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Bolsa del programa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6350" indent="-6350" algn="just">
            <a:lnSpc>
              <a:spcPct val="106000"/>
            </a:lnSpc>
            <a:spcBef>
              <a:spcPts val="1200"/>
            </a:spcBef>
            <a:spcAft>
              <a:spcPts val="0"/>
            </a:spcAft>
          </a:pPr>
          <a:r>
            <a:rPr lang="es-ES" sz="1100" b="1" kern="0">
              <a:solidFill>
                <a:srgbClr val="0070C0"/>
              </a:solidFill>
              <a:effectLst/>
              <a:latin typeface="Calibri Light" panose="020F0302020204030204" pitchFamily="34" charset="0"/>
              <a:ea typeface="Times New Roman" panose="02020603050405020304" pitchFamily="18" charset="0"/>
              <a:cs typeface="Calibri Light" panose="020F0302020204030204" pitchFamily="34" charset="0"/>
            </a:rPr>
            <a:t>Bolsa general del Ayuntamiento  </a:t>
          </a:r>
          <a:endParaRPr lang="es-ES" sz="1600" b="1" kern="0">
            <a:solidFill>
              <a:srgbClr val="2E74B5"/>
            </a:solidFill>
            <a:effectLst/>
            <a:latin typeface="Calibri Light" panose="020F0302020204030204" pitchFamily="34" charset="0"/>
            <a:ea typeface="Times New Roman" panose="02020603050405020304" pitchFamily="18" charset="0"/>
            <a:cs typeface="Times New Roman" panose="02020603050405020304" pitchFamily="18" charset="0"/>
          </a:endParaRPr>
        </a:p>
        <a:p>
          <a:pPr marL="6350" indent="-6350" algn="just">
            <a:lnSpc>
              <a:spcPct val="106000"/>
            </a:lnSpc>
            <a:spcAft>
              <a:spcPts val="0"/>
            </a:spcAft>
          </a:pPr>
          <a:r>
            <a:rPr lang="es-ES" sz="1100">
              <a:solidFill>
                <a:srgbClr val="000000"/>
              </a:solidFill>
              <a:effectLst/>
              <a:latin typeface="Calibri Light" panose="020F0302020204030204" pitchFamily="34" charset="0"/>
              <a:ea typeface="Times New Roman" panose="02020603050405020304" pitchFamily="18" charset="0"/>
            </a:rPr>
            <a:t>La bolsa general recoge el importe no asignado a empleados que no han mantenido una relación laboral completa con el Ayuntamiento durante el año. </a:t>
          </a:r>
        </a:p>
        <a:p>
          <a:pPr marL="6350" indent="-6350" algn="just">
            <a:lnSpc>
              <a:spcPct val="106000"/>
            </a:lnSpc>
            <a:spcAft>
              <a:spcPts val="0"/>
            </a:spcAft>
          </a:pPr>
          <a:r>
            <a:rPr lang="es-ES" sz="1100">
              <a:solidFill>
                <a:srgbClr val="000000"/>
              </a:solidFill>
              <a:effectLst/>
              <a:latin typeface="Calibri Light" panose="020F0302020204030204" pitchFamily="34" charset="0"/>
              <a:ea typeface="Times New Roman" panose="02020603050405020304" pitchFamily="18" charset="0"/>
            </a:rPr>
            <a:t>Esto incluye: </a:t>
          </a:r>
          <a:endParaRPr lang="es-ES" sz="1100">
            <a:solidFill>
              <a:srgbClr val="000000"/>
            </a:solidFill>
            <a:effectLst/>
            <a:latin typeface="Times New Roman" panose="02020603050405020304" pitchFamily="18" charset="0"/>
            <a:ea typeface="Times New Roman" panose="02020603050405020304" pitchFamily="18"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Finalización de contrato/nombramiento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Jubilación total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Jornada parcial que nace de la relación contractual.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6350" indent="-6350" algn="just">
            <a:lnSpc>
              <a:spcPct val="106000"/>
            </a:lnSpc>
            <a:spcBef>
              <a:spcPts val="1200"/>
            </a:spcBef>
            <a:spcAft>
              <a:spcPts val="0"/>
            </a:spcAft>
          </a:pPr>
          <a:r>
            <a:rPr lang="es-ES" sz="1100" b="1" kern="0">
              <a:solidFill>
                <a:srgbClr val="0070C0"/>
              </a:solidFill>
              <a:effectLst/>
              <a:latin typeface="Calibri Light" panose="020F0302020204030204" pitchFamily="34" charset="0"/>
              <a:ea typeface="Times New Roman" panose="02020603050405020304" pitchFamily="18" charset="0"/>
              <a:cs typeface="Calibri Light" panose="020F0302020204030204" pitchFamily="34" charset="0"/>
            </a:rPr>
            <a:t>Bolsa del programa  </a:t>
          </a:r>
          <a:endParaRPr lang="es-ES" sz="1600" b="1" kern="0">
            <a:solidFill>
              <a:srgbClr val="2E74B5"/>
            </a:solidFill>
            <a:effectLst/>
            <a:latin typeface="Calibri Light" panose="020F0302020204030204" pitchFamily="34" charset="0"/>
            <a:ea typeface="Times New Roman" panose="02020603050405020304" pitchFamily="18" charset="0"/>
            <a:cs typeface="Times New Roman" panose="02020603050405020304" pitchFamily="18" charset="0"/>
          </a:endParaRPr>
        </a:p>
        <a:p>
          <a:pPr marL="6350" indent="-6350" algn="just">
            <a:lnSpc>
              <a:spcPct val="106000"/>
            </a:lnSpc>
            <a:spcAft>
              <a:spcPts val="0"/>
            </a:spcAft>
          </a:pPr>
          <a:r>
            <a:rPr lang="es-ES" sz="1100">
              <a:solidFill>
                <a:srgbClr val="000000"/>
              </a:solidFill>
              <a:effectLst/>
              <a:latin typeface="Calibri Light" panose="020F0302020204030204" pitchFamily="34" charset="0"/>
              <a:ea typeface="Times New Roman" panose="02020603050405020304" pitchFamily="18" charset="0"/>
            </a:rPr>
            <a:t>Estas situaciones incluyen: </a:t>
          </a:r>
          <a:endParaRPr lang="es-ES" sz="1100">
            <a:solidFill>
              <a:srgbClr val="000000"/>
            </a:solidFill>
            <a:effectLst/>
            <a:latin typeface="Times New Roman" panose="02020603050405020304" pitchFamily="18" charset="0"/>
            <a:ea typeface="Times New Roman" panose="02020603050405020304" pitchFamily="18"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Suspensión de empleo y sueldo por expediente disciplinario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Días sin sueldo/Permisos por asuntos propios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Tiempo como reservista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Jubilación Parcial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6350" indent="-6350" algn="just">
            <a:lnSpc>
              <a:spcPct val="106000"/>
            </a:lnSpc>
            <a:spcAft>
              <a:spcPts val="0"/>
            </a:spcAft>
          </a:pPr>
          <a:r>
            <a:rPr lang="es-ES" sz="1100">
              <a:solidFill>
                <a:srgbClr val="000000"/>
              </a:solidFill>
              <a:effectLst/>
              <a:latin typeface="Calibri Light" panose="020F0302020204030204" pitchFamily="34" charset="0"/>
              <a:ea typeface="Times New Roman" panose="02020603050405020304" pitchFamily="18" charset="0"/>
            </a:rPr>
            <a:t>En estos casos, el importe no asignado no se transfiere a la bolsa general, sino que se redistribuye entre los compañeros del mismo programa, aumentando su cuantía individual. </a:t>
          </a:r>
          <a:endParaRPr lang="es-ES" sz="1100">
            <a:solidFill>
              <a:srgbClr val="000000"/>
            </a:solidFill>
            <a:effectLst/>
            <a:latin typeface="Times New Roman" panose="02020603050405020304" pitchFamily="18" charset="0"/>
            <a:ea typeface="Times New Roman" panose="02020603050405020304" pitchFamily="18" charset="0"/>
          </a:endParaRPr>
        </a:p>
        <a:p>
          <a:pPr marL="6350" indent="-6350" algn="just">
            <a:lnSpc>
              <a:spcPct val="106000"/>
            </a:lnSpc>
            <a:spcAft>
              <a:spcPts val="0"/>
            </a:spcAft>
          </a:pPr>
          <a:endParaRPr lang="es-ES" sz="1100">
            <a:solidFill>
              <a:srgbClr val="000000"/>
            </a:solidFill>
            <a:effectLst/>
            <a:latin typeface="Calibri Light" panose="020F0302020204030204" pitchFamily="34" charset="0"/>
            <a:ea typeface="Times New Roman" panose="02020603050405020304" pitchFamily="18" charset="0"/>
          </a:endParaRPr>
        </a:p>
        <a:p>
          <a:pPr marL="6350" indent="-6350" algn="just">
            <a:lnSpc>
              <a:spcPct val="106000"/>
            </a:lnSpc>
            <a:spcAft>
              <a:spcPts val="0"/>
            </a:spcAft>
          </a:pPr>
          <a:r>
            <a:rPr lang="es-ES" sz="1100">
              <a:solidFill>
                <a:srgbClr val="000000"/>
              </a:solidFill>
              <a:effectLst/>
              <a:latin typeface="Calibri Light" panose="020F0302020204030204" pitchFamily="34" charset="0"/>
              <a:ea typeface="Times New Roman" panose="02020603050405020304" pitchFamily="18" charset="0"/>
            </a:rPr>
            <a:t>Situaciones exentas que mantienen coeficiente 1 y no generan excedente para el reparto en bolsa </a:t>
          </a:r>
          <a:endParaRPr lang="es-ES" sz="1100">
            <a:solidFill>
              <a:srgbClr val="000000"/>
            </a:solidFill>
            <a:effectLst/>
            <a:latin typeface="Times New Roman" panose="02020603050405020304" pitchFamily="18" charset="0"/>
            <a:ea typeface="Times New Roman" panose="02020603050405020304" pitchFamily="18"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Reducción de jornada por conciliación familiar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Reducción de jornada por violencia de género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Incapacidad temporal con pago directo por el INSS, siempre que haya reincorporación efectiva al puesto de trabajo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6350" indent="-6350" algn="just">
            <a:lnSpc>
              <a:spcPct val="106000"/>
            </a:lnSpc>
            <a:spcAft>
              <a:spcPts val="0"/>
            </a:spcAft>
          </a:pPr>
          <a:r>
            <a:rPr lang="es-ES" sz="1100">
              <a:solidFill>
                <a:srgbClr val="000000"/>
              </a:solidFill>
              <a:effectLst/>
              <a:latin typeface="Calibri Light" panose="020F0302020204030204" pitchFamily="34" charset="0"/>
              <a:ea typeface="Times New Roman" panose="02020603050405020304" pitchFamily="18" charset="0"/>
            </a:rPr>
            <a:t>Estas situaciones se consideran computables a todos los efectos dentro del programa, y no afectan ni al cálculo del coeficiente ni al reparto de las bolsas. </a:t>
          </a:r>
          <a:endParaRPr lang="es-ES" sz="1100">
            <a:solidFill>
              <a:srgbClr val="000000"/>
            </a:solidFill>
            <a:effectLst/>
            <a:latin typeface="Times New Roman" panose="02020603050405020304" pitchFamily="18" charset="0"/>
            <a:ea typeface="Times New Roman" panose="02020603050405020304" pitchFamily="18" charset="0"/>
          </a:endParaRPr>
        </a:p>
      </xdr:txBody>
    </xdr:sp>
    <xdr:clientData/>
  </xdr:twoCellAnchor>
  <xdr:oneCellAnchor>
    <xdr:from>
      <xdr:col>14</xdr:col>
      <xdr:colOff>119062</xdr:colOff>
      <xdr:row>83</xdr:row>
      <xdr:rowOff>35717</xdr:rowOff>
    </xdr:from>
    <xdr:ext cx="9191625" cy="3233661"/>
    <xdr:pic>
      <xdr:nvPicPr>
        <xdr:cNvPr id="67" name="Imagen 66"/>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787062" y="15847217"/>
          <a:ext cx="9191625" cy="3233661"/>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15</xdr:col>
      <xdr:colOff>0</xdr:colOff>
      <xdr:row>80</xdr:row>
      <xdr:rowOff>0</xdr:rowOff>
    </xdr:from>
    <xdr:to>
      <xdr:col>18</xdr:col>
      <xdr:colOff>274203</xdr:colOff>
      <xdr:row>82</xdr:row>
      <xdr:rowOff>1735</xdr:rowOff>
    </xdr:to>
    <xdr:sp macro="" textlink="">
      <xdr:nvSpPr>
        <xdr:cNvPr id="68" name="Rectángulo redondeado 67"/>
        <xdr:cNvSpPr/>
      </xdr:nvSpPr>
      <xdr:spPr>
        <a:xfrm>
          <a:off x="11430000" y="15240000"/>
          <a:ext cx="2560203" cy="382735"/>
        </a:xfrm>
        <a:prstGeom prst="roundRect">
          <a:avLst/>
        </a:prstGeom>
        <a:solidFill>
          <a:schemeClr val="bg1">
            <a:lumMod val="95000"/>
          </a:scheme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0">
              <a:solidFill>
                <a:sysClr val="windowText" lastClr="000000"/>
              </a:solidFill>
              <a:latin typeface="Arial" panose="020B0604020202020204" pitchFamily="34" charset="0"/>
              <a:cs typeface="Arial" panose="020B0604020202020204" pitchFamily="34" charset="0"/>
            </a:rPr>
            <a:t>Hoja: </a:t>
          </a:r>
          <a:r>
            <a:rPr lang="es-ES" sz="1100" b="1">
              <a:solidFill>
                <a:sysClr val="windowText" lastClr="000000"/>
              </a:solidFill>
              <a:latin typeface="Arial" panose="020B0604020202020204" pitchFamily="34" charset="0"/>
              <a:cs typeface="Arial" panose="020B0604020202020204" pitchFamily="34" charset="0"/>
            </a:rPr>
            <a:t>RESULTADOS_OBJETIVOS</a:t>
          </a:r>
        </a:p>
      </xdr:txBody>
    </xdr:sp>
    <xdr:clientData/>
  </xdr:twoCellAnchor>
</xdr:wsDr>
</file>

<file path=xl/persons/person.xml><?xml version="1.0" encoding="utf-8"?>
<personList xmlns="http://schemas.microsoft.com/office/spreadsheetml/2018/threadedcomments" xmlns:x="http://schemas.openxmlformats.org/spreadsheetml/2006/main">
  <person displayName="Francisco Navarro Carro" id="{AEAD6972-9522-4589-89FF-DBD0015BBD22}" userId="S::fnavarro@valora2021.com::b7993a27-c6c4-4a40-9514-5e384eca3bc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7" dT="2024-09-10T08:15:39.47" personId="{AEAD6972-9522-4589-89FF-DBD0015BBD22}" id="{CCC6B7BC-58D4-414A-B2AA-A5935C49751F}">
    <text>Definición clara y concisa de lo que se va a medir (no necesario incluir el Umbral de consecución)</text>
  </threadedComment>
  <threadedComment ref="C7" dT="2024-09-10T08:16:59.16" personId="{AEAD6972-9522-4589-89FF-DBD0015BBD22}" id="{9A5AF991-DD67-4E55-8D87-1B0D5FE62993}">
    <text>Indicar si la consecución del Objetivo depende únicamente de su actuación (individual) o si requiere de la aportación de otras personas de su unidad (colectivo)</text>
  </threadedComment>
  <threadedComment ref="D7" dT="2024-09-10T08:13:41.94" personId="{AEAD6972-9522-4589-89FF-DBD0015BBD22}" id="{507BC5F7-5E80-451C-9D40-B6EA7E0099E4}">
    <text>Considerar los límites mínimos y máximos de ponderación para cada objetivo que se establecen en el Manual de Evaluación del Desempeño</text>
  </threadedComment>
  <threadedComment ref="E7" dT="2024-09-10T08:19:09.36" personId="{AEAD6972-9522-4589-89FF-DBD0015BBD22}" id="{06E7C513-6423-4D2B-828B-476A06F171E1}">
    <text>Indicar si lo que se mide es un “número” de ejecuciones de aquello que se ha descrito en el Objetivo o un “porcentaje” (que considera la ejecución respecto de un total)</text>
  </threadedComment>
  <threadedComment ref="F7" dT="2024-09-11T11:37:17.50" personId="{AEAD6972-9522-4589-89FF-DBD0015BBD22}" id="{EFD82D7B-0944-4AF7-832F-01B0ECDCE9B5}">
    <text xml:space="preserve">Indicar cual es el valor a superar (en el caso de ser al alza) o no superar (en el caso de ser a la baja). Se indica en números enteros, con independencia de que se trate de categoría "Número" o "Porcentaje"
</text>
  </threadedComment>
  <threadedComment ref="G7" dT="2024-08-12T10:10:14.95" personId="{AEAD6972-9522-4589-89FF-DBD0015BBD22}" id="{459B309C-52A7-49A5-B984-B3D4B800ED70}">
    <text>Alza: SÍ se debe superar el valor especificado en el umbral para que puntúe positivamente
Baja: NO se debe superar el valor especificado en el umbral para que puntúe positivamente</text>
  </threadedComment>
  <threadedComment ref="H7" dT="2024-09-11T11:37:49.49" personId="{AEAD6972-9522-4589-89FF-DBD0015BBD22}" id="{14BDA03E-62FC-494D-9BEB-66D20224660B}">
    <text>Indicar, al final del periodo de evaluación, cual es el valor obtenido. Se indica en números enteros, con independencia de que se trate de categoría "Número" o "Porcentaje"</text>
  </threadedComment>
</ThreadedComments>
</file>

<file path=xl/threadedComments/threadedComment2.xml><?xml version="1.0" encoding="utf-8"?>
<ThreadedComments xmlns="http://schemas.microsoft.com/office/spreadsheetml/2018/threadedcomments" xmlns:x="http://schemas.openxmlformats.org/spreadsheetml/2006/main">
  <threadedComment ref="B7" dT="2024-09-10T08:15:34.31" personId="{AEAD6972-9522-4589-89FF-DBD0015BBD22}" id="{C5573A2D-348C-43FE-A09C-CB4CF5E7CEF3}">
    <text>Definición clara y concisa de lo que se va a medir (no necesario incluir el Umbral de consecución)</text>
  </threadedComment>
  <threadedComment ref="C7" dT="2024-09-10T08:17:08.44" personId="{AEAD6972-9522-4589-89FF-DBD0015BBD22}" id="{C0902CB6-2319-4987-9055-792D327E712B}">
    <text>Indicar si la consecución del Objetivo depende únicamente de su actuación (individual) o si requiere de la aportación de otras personas de su unidad (colectivo)</text>
  </threadedComment>
  <threadedComment ref="D7" dT="2024-09-10T08:13:48.80" personId="{AEAD6972-9522-4589-89FF-DBD0015BBD22}" id="{4E3DDF46-C6DD-4D5A-9FF0-F4976E0337E9}">
    <text>Considerar los límites mínimos y máximos de ponderación para cada objetivo que se establecen en el Manual de Evaluación del Desempeño</text>
  </threadedComment>
  <threadedComment ref="E7" dT="2024-09-10T08:19:09.36" personId="{AEAD6972-9522-4589-89FF-DBD0015BBD22}" id="{04CD2778-2595-4194-94F9-E4DDA4511544}">
    <text>Indicar si lo que se mide es un “número” de ejecuciones de aquello que se ha descrito en el Objetivo o un “porcentaje” (que considera la ejecución respecto de un total)</text>
  </threadedComment>
  <threadedComment ref="F7" dT="2024-09-11T11:39:12.39" personId="{AEAD6972-9522-4589-89FF-DBD0015BBD22}" id="{C8954FA2-0280-49A7-8C7C-412DAD6725D4}">
    <text>Indicar cual es el valor a superar (en el caso de ser al alza) o no superar (en el caso de ser a la baja). Se indica en números enteros, con independencia de que se trate de categoría "Número" o "Porcentaje"</text>
  </threadedComment>
  <threadedComment ref="G7" dT="2024-08-12T10:10:14.95" personId="{AEAD6972-9522-4589-89FF-DBD0015BBD22}" id="{3B6274A7-A66D-4617-B97E-F9E5C7DB7B21}">
    <text>Alza: SÍ se debe superar el valor especificado en el umbral para que puntúe positivamente
Baja: NO se debe superar el valor especificado en el umbral para que puntúe positivamente</text>
  </threadedComment>
  <threadedComment ref="H7" dT="2024-09-11T11:39:57.82" personId="{AEAD6972-9522-4589-89FF-DBD0015BBD22}" id="{06D8F802-3152-4722-BD83-117021BADB8E}">
    <text>Indicar, al final del periodo de evaluación, cual es el valor obtenido. Se indica en números enteros, con independencia de que se trate de categoría "Número" o "Porcentaje"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Z127"/>
  <sheetViews>
    <sheetView showGridLines="0" topLeftCell="A67" zoomScale="80" zoomScaleNormal="80" workbookViewId="0">
      <selection activeCell="Q102" sqref="Q102"/>
    </sheetView>
  </sheetViews>
  <sheetFormatPr baseColWidth="10" defaultRowHeight="15" x14ac:dyDescent="0.25"/>
  <cols>
    <col min="1" max="1" width="2.28515625" customWidth="1"/>
    <col min="2" max="2" width="3.140625" customWidth="1"/>
    <col min="14" max="14" width="11.42578125" customWidth="1"/>
    <col min="15" max="15" width="4.7109375" customWidth="1"/>
    <col min="26" max="26" width="23.28515625" customWidth="1"/>
    <col min="38" max="38" width="18.7109375" customWidth="1"/>
  </cols>
  <sheetData>
    <row r="1" spans="1:26" ht="6.6" customHeight="1" x14ac:dyDescent="0.25">
      <c r="A1" s="31"/>
      <c r="B1" s="31"/>
      <c r="C1" s="12"/>
      <c r="D1" s="12"/>
      <c r="E1" s="12"/>
      <c r="F1" s="12"/>
      <c r="G1" s="12"/>
      <c r="H1" s="12"/>
      <c r="I1" s="12"/>
      <c r="J1" s="12"/>
      <c r="K1" s="12"/>
      <c r="L1" s="12"/>
      <c r="M1" s="12"/>
      <c r="N1" s="12"/>
      <c r="O1" s="12"/>
      <c r="P1" s="12"/>
      <c r="Q1" s="12"/>
      <c r="R1" s="12"/>
      <c r="S1" s="12"/>
      <c r="T1" s="12"/>
      <c r="U1" s="12"/>
      <c r="V1" s="12"/>
      <c r="W1" s="12"/>
      <c r="X1" s="12"/>
      <c r="Y1" s="12"/>
      <c r="Z1" s="12"/>
    </row>
    <row r="2" spans="1:26" x14ac:dyDescent="0.25">
      <c r="A2" s="12"/>
      <c r="B2" s="12"/>
      <c r="C2" s="12"/>
      <c r="D2" s="12"/>
      <c r="E2" s="12"/>
      <c r="F2" s="12"/>
      <c r="G2" s="12"/>
      <c r="H2" s="12"/>
      <c r="I2" s="12"/>
      <c r="J2" s="12"/>
      <c r="K2" s="12"/>
      <c r="L2" s="12"/>
      <c r="M2" s="12"/>
      <c r="N2" s="12"/>
      <c r="O2" s="12"/>
      <c r="P2" s="12"/>
      <c r="Q2" s="12"/>
      <c r="R2" s="12"/>
      <c r="S2" s="12"/>
      <c r="T2" s="12"/>
      <c r="U2" s="12"/>
      <c r="V2" s="12"/>
      <c r="W2" s="12"/>
      <c r="X2" s="12"/>
      <c r="Y2" s="12"/>
      <c r="Z2" s="12"/>
    </row>
    <row r="3" spans="1:26" x14ac:dyDescent="0.25">
      <c r="A3" s="12"/>
      <c r="B3" s="12"/>
      <c r="C3" s="12"/>
      <c r="D3" s="12"/>
      <c r="E3" s="12"/>
      <c r="F3" s="12"/>
      <c r="G3" s="12"/>
      <c r="H3" s="12"/>
      <c r="I3" s="12"/>
      <c r="J3" s="12"/>
      <c r="K3" s="12"/>
      <c r="L3" s="12"/>
      <c r="M3" s="12"/>
      <c r="N3" s="12"/>
      <c r="O3" s="12"/>
      <c r="P3" s="12"/>
      <c r="Q3" s="12"/>
      <c r="R3" s="12"/>
      <c r="S3" s="12"/>
      <c r="T3" s="12"/>
      <c r="U3" s="12"/>
      <c r="V3" s="12"/>
      <c r="W3" s="12"/>
      <c r="X3" s="12"/>
      <c r="Y3" s="12"/>
      <c r="Z3" s="12"/>
    </row>
    <row r="4" spans="1:26" x14ac:dyDescent="0.25">
      <c r="A4" s="12"/>
      <c r="B4" s="12"/>
      <c r="C4" s="12"/>
      <c r="D4" s="12"/>
      <c r="E4" s="12"/>
      <c r="F4" s="12"/>
      <c r="G4" s="12"/>
      <c r="H4" s="12"/>
      <c r="I4" s="12"/>
      <c r="J4" s="12"/>
      <c r="K4" s="12"/>
      <c r="L4" s="12"/>
      <c r="M4" s="12"/>
      <c r="N4" s="12"/>
      <c r="O4" s="12"/>
      <c r="P4" s="12"/>
      <c r="Q4" s="12"/>
      <c r="R4" s="12"/>
      <c r="S4" s="12"/>
      <c r="T4" s="12"/>
      <c r="U4" s="12"/>
      <c r="V4" s="12"/>
      <c r="W4" s="12"/>
      <c r="X4" s="12"/>
      <c r="Y4" s="12"/>
      <c r="Z4" s="12"/>
    </row>
    <row r="5" spans="1:26" x14ac:dyDescent="0.25">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x14ac:dyDescent="0.25">
      <c r="A6" s="12"/>
      <c r="B6" s="12"/>
      <c r="C6" s="12"/>
      <c r="D6" s="12"/>
      <c r="E6" s="12"/>
      <c r="F6" s="12"/>
      <c r="G6" s="12"/>
      <c r="H6" s="12"/>
      <c r="I6" s="12"/>
      <c r="J6" s="12"/>
      <c r="K6" s="12"/>
      <c r="L6" s="12"/>
      <c r="M6" s="12"/>
      <c r="N6" s="12"/>
      <c r="O6" s="12"/>
      <c r="P6" s="12"/>
      <c r="Q6" s="12"/>
      <c r="R6" s="12"/>
      <c r="S6" s="12"/>
      <c r="T6" s="12"/>
      <c r="U6" s="12"/>
      <c r="V6" s="12"/>
      <c r="W6" s="12"/>
      <c r="X6" s="12"/>
      <c r="Y6" s="12"/>
      <c r="Z6" s="12"/>
    </row>
    <row r="7" spans="1:26" ht="8.4499999999999993" customHeight="1" x14ac:dyDescent="0.25">
      <c r="A7" s="12"/>
      <c r="B7" s="12"/>
      <c r="C7" s="12"/>
      <c r="D7" s="12"/>
      <c r="E7" s="12"/>
      <c r="F7" s="12"/>
      <c r="G7" s="12"/>
      <c r="H7" s="12"/>
      <c r="I7" s="12"/>
      <c r="J7" s="12"/>
      <c r="K7" s="12"/>
      <c r="L7" s="12"/>
      <c r="M7" s="12"/>
      <c r="N7" s="12"/>
      <c r="O7" s="12"/>
      <c r="P7" s="12"/>
      <c r="Q7" s="12"/>
      <c r="R7" s="12"/>
      <c r="S7" s="12"/>
      <c r="T7" s="12"/>
      <c r="U7" s="12"/>
      <c r="V7" s="12"/>
      <c r="W7" s="12"/>
      <c r="X7" s="12"/>
      <c r="Y7" s="12"/>
      <c r="Z7" s="12"/>
    </row>
    <row r="8" spans="1:26" x14ac:dyDescent="0.25">
      <c r="A8" s="12"/>
      <c r="B8" s="12"/>
      <c r="C8" s="12"/>
      <c r="D8" s="12"/>
      <c r="E8" s="12"/>
      <c r="F8" s="12"/>
      <c r="G8" s="12"/>
      <c r="H8" s="12"/>
      <c r="I8" s="12"/>
      <c r="J8" s="12"/>
      <c r="K8" s="12"/>
      <c r="L8" s="12"/>
      <c r="M8" s="12"/>
      <c r="N8" s="12"/>
      <c r="O8" s="12"/>
      <c r="P8" s="12"/>
      <c r="Q8" s="12"/>
      <c r="R8" s="12"/>
      <c r="S8" s="12"/>
      <c r="T8" s="12"/>
      <c r="U8" s="12"/>
      <c r="V8" s="12"/>
      <c r="W8" s="12"/>
      <c r="X8" s="12"/>
      <c r="Y8" s="12"/>
      <c r="Z8" s="12"/>
    </row>
    <row r="9" spans="1:26" x14ac:dyDescent="0.25">
      <c r="A9" s="12"/>
      <c r="B9" s="12"/>
      <c r="C9" s="12"/>
      <c r="D9" s="12"/>
      <c r="E9" s="12"/>
      <c r="F9" s="12"/>
      <c r="G9" s="12"/>
      <c r="H9" s="12"/>
      <c r="I9" s="12"/>
      <c r="J9" s="12"/>
      <c r="K9" s="12"/>
      <c r="L9" s="12"/>
      <c r="M9" s="12"/>
      <c r="N9" s="12"/>
      <c r="O9" s="12"/>
      <c r="P9" s="12"/>
      <c r="Q9" s="12"/>
      <c r="R9" s="12"/>
      <c r="S9" s="12"/>
      <c r="T9" s="12"/>
      <c r="U9" s="12"/>
      <c r="V9" s="12"/>
      <c r="W9" s="12"/>
      <c r="X9" s="12"/>
      <c r="Y9" s="12"/>
      <c r="Z9" s="12"/>
    </row>
    <row r="10" spans="1:26"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5.75" x14ac:dyDescent="0.25">
      <c r="A38" s="12"/>
      <c r="B38" s="16" t="s">
        <v>29</v>
      </c>
      <c r="C38" s="12"/>
      <c r="D38" s="12"/>
      <c r="E38" s="12"/>
      <c r="F38" s="12"/>
      <c r="G38" s="12"/>
      <c r="H38" s="12"/>
      <c r="I38" s="12"/>
      <c r="J38" s="12"/>
      <c r="K38" s="12"/>
      <c r="L38" s="12"/>
      <c r="M38" s="12"/>
      <c r="N38" s="12"/>
      <c r="O38" s="12"/>
      <c r="P38" s="16" t="s">
        <v>29</v>
      </c>
      <c r="Q38" s="12"/>
      <c r="R38" s="12"/>
      <c r="S38" s="12"/>
      <c r="T38" s="12"/>
      <c r="U38" s="12"/>
      <c r="V38" s="12"/>
      <c r="W38" s="12"/>
      <c r="X38" s="12"/>
      <c r="Y38" s="12"/>
      <c r="Z38" s="12"/>
    </row>
    <row r="39" spans="1:26" ht="15.75" x14ac:dyDescent="0.25">
      <c r="A39" s="12"/>
      <c r="B39" s="16" t="s">
        <v>30</v>
      </c>
      <c r="C39" s="12"/>
      <c r="D39" s="12"/>
      <c r="E39" s="12"/>
      <c r="F39" s="12"/>
      <c r="G39" s="12"/>
      <c r="H39" s="12"/>
      <c r="I39" s="12"/>
      <c r="J39" s="12"/>
      <c r="K39" s="12"/>
      <c r="L39" s="12"/>
      <c r="M39" s="12"/>
      <c r="N39" s="12"/>
      <c r="O39" s="12"/>
      <c r="P39" s="16" t="s">
        <v>30</v>
      </c>
      <c r="Q39" s="12"/>
      <c r="R39" s="12"/>
      <c r="S39" s="12"/>
      <c r="T39" s="12"/>
      <c r="U39" s="12"/>
      <c r="V39" s="12"/>
      <c r="W39" s="12"/>
      <c r="X39" s="12"/>
      <c r="Y39" s="12"/>
      <c r="Z39" s="12"/>
    </row>
    <row r="40" spans="1:26" ht="15.75" x14ac:dyDescent="0.25">
      <c r="A40" s="12"/>
      <c r="B40" s="16" t="s">
        <v>31</v>
      </c>
      <c r="C40" s="12"/>
      <c r="D40" s="12"/>
      <c r="E40" s="12"/>
      <c r="F40" s="12"/>
      <c r="G40" s="12"/>
      <c r="H40" s="12"/>
      <c r="I40" s="12"/>
      <c r="J40" s="12"/>
      <c r="K40" s="12"/>
      <c r="L40" s="12"/>
      <c r="M40" s="12"/>
      <c r="N40" s="12"/>
      <c r="O40" s="12"/>
      <c r="P40" s="16" t="s">
        <v>31</v>
      </c>
      <c r="Q40" s="12"/>
      <c r="R40" s="12"/>
      <c r="S40" s="12"/>
      <c r="T40" s="12"/>
      <c r="U40" s="12"/>
      <c r="V40" s="12"/>
      <c r="W40" s="12"/>
      <c r="X40" s="12"/>
      <c r="Y40" s="12"/>
      <c r="Z40" s="12"/>
    </row>
    <row r="41" spans="1:26" ht="6.6" customHeight="1" x14ac:dyDescent="0.25">
      <c r="A41" s="12"/>
      <c r="B41" s="16"/>
      <c r="C41" s="12"/>
      <c r="D41" s="12"/>
      <c r="E41" s="12"/>
      <c r="F41" s="12"/>
      <c r="G41" s="12"/>
      <c r="H41" s="12"/>
      <c r="I41" s="12"/>
      <c r="J41" s="12"/>
      <c r="K41" s="12"/>
      <c r="L41" s="12"/>
      <c r="M41" s="12"/>
      <c r="N41" s="12"/>
      <c r="O41" s="17"/>
      <c r="P41" s="29"/>
      <c r="Q41" s="17"/>
      <c r="R41" s="17"/>
      <c r="S41" s="17"/>
      <c r="T41" s="17"/>
      <c r="U41" s="17"/>
      <c r="V41" s="17"/>
      <c r="W41" s="17"/>
      <c r="X41" s="17"/>
      <c r="Y41" s="17"/>
      <c r="Z41" s="17"/>
    </row>
    <row r="42" spans="1:26" x14ac:dyDescent="0.25">
      <c r="A42" s="12"/>
      <c r="B42" s="12"/>
      <c r="C42" s="12"/>
      <c r="D42" s="12"/>
      <c r="E42" s="12"/>
      <c r="F42" s="12"/>
      <c r="G42" s="12"/>
      <c r="H42" s="12"/>
      <c r="I42" s="12"/>
      <c r="J42" s="12"/>
      <c r="K42" s="12"/>
      <c r="L42" s="12"/>
      <c r="M42" s="12"/>
      <c r="N42" s="12"/>
      <c r="O42" s="17"/>
      <c r="P42" s="17"/>
      <c r="Q42" s="17"/>
      <c r="R42" s="17"/>
      <c r="S42" s="17"/>
      <c r="T42" s="17"/>
      <c r="U42" s="17"/>
      <c r="V42" s="17"/>
      <c r="W42" s="17"/>
      <c r="X42" s="17"/>
      <c r="Y42" s="17"/>
      <c r="Z42" s="17"/>
    </row>
    <row r="43" spans="1:26" x14ac:dyDescent="0.25">
      <c r="A43" s="12"/>
      <c r="B43" s="12"/>
      <c r="C43" s="12"/>
      <c r="D43" s="12"/>
      <c r="E43" s="12"/>
      <c r="F43" s="12"/>
      <c r="G43" s="12"/>
      <c r="H43" s="12"/>
      <c r="I43" s="12"/>
      <c r="J43" s="12"/>
      <c r="K43" s="12"/>
      <c r="L43" s="12"/>
      <c r="M43" s="12"/>
      <c r="N43" s="12"/>
      <c r="O43" s="17"/>
      <c r="P43" s="17"/>
      <c r="Q43" s="17"/>
      <c r="R43" s="17"/>
      <c r="S43" s="17"/>
      <c r="T43" s="17"/>
      <c r="U43" s="17"/>
      <c r="V43" s="17"/>
      <c r="W43" s="17"/>
      <c r="X43" s="17"/>
      <c r="Y43" s="17"/>
      <c r="Z43" s="17"/>
    </row>
    <row r="44" spans="1:26" x14ac:dyDescent="0.25">
      <c r="A44" s="12"/>
      <c r="B44" s="12"/>
      <c r="C44" s="12"/>
      <c r="D44" s="12"/>
      <c r="E44" s="12"/>
      <c r="F44" s="12"/>
      <c r="G44" s="12"/>
      <c r="H44" s="12"/>
      <c r="I44" s="12"/>
      <c r="J44" s="12"/>
      <c r="K44" s="12"/>
      <c r="L44" s="12"/>
      <c r="M44" s="12"/>
      <c r="N44" s="12"/>
      <c r="O44" s="17"/>
      <c r="P44" s="17"/>
      <c r="Q44" s="17"/>
      <c r="R44" s="17"/>
      <c r="S44" s="17"/>
      <c r="T44" s="17"/>
      <c r="U44" s="17"/>
      <c r="V44" s="17"/>
      <c r="W44" s="17"/>
      <c r="X44" s="17"/>
      <c r="Y44" s="17"/>
      <c r="Z44" s="17"/>
    </row>
    <row r="45" spans="1:26" x14ac:dyDescent="0.25">
      <c r="A45" s="12"/>
      <c r="B45" s="12"/>
      <c r="C45" s="12"/>
      <c r="D45" s="12"/>
      <c r="E45" s="12"/>
      <c r="F45" s="12"/>
      <c r="G45" s="12"/>
      <c r="H45" s="12"/>
      <c r="I45" s="12"/>
      <c r="J45" s="12"/>
      <c r="K45" s="12"/>
      <c r="L45" s="12"/>
      <c r="M45" s="12"/>
      <c r="N45" s="12"/>
      <c r="O45" s="17"/>
      <c r="P45" s="17"/>
      <c r="Q45" s="17"/>
      <c r="R45" s="17"/>
      <c r="S45" s="17"/>
      <c r="T45" s="17"/>
      <c r="U45" s="17"/>
      <c r="V45" s="17"/>
      <c r="W45" s="17"/>
      <c r="X45" s="17"/>
      <c r="Y45" s="17"/>
      <c r="Z45" s="17"/>
    </row>
    <row r="46" spans="1:26" x14ac:dyDescent="0.25">
      <c r="A46" s="12"/>
      <c r="B46" s="12"/>
      <c r="C46" s="12"/>
      <c r="D46" s="12"/>
      <c r="E46" s="12"/>
      <c r="F46" s="12"/>
      <c r="G46" s="12"/>
      <c r="H46" s="12"/>
      <c r="I46" s="12"/>
      <c r="J46" s="12"/>
      <c r="K46" s="12"/>
      <c r="L46" s="12"/>
      <c r="M46" s="12"/>
      <c r="N46" s="12"/>
      <c r="O46" s="17"/>
      <c r="P46" s="17"/>
      <c r="Q46" s="17"/>
      <c r="R46" s="17"/>
      <c r="S46" s="17"/>
      <c r="T46" s="17"/>
      <c r="U46" s="17"/>
      <c r="V46" s="17"/>
      <c r="W46" s="17"/>
      <c r="X46" s="17"/>
      <c r="Y46" s="17"/>
      <c r="Z46" s="17"/>
    </row>
    <row r="47" spans="1:26" x14ac:dyDescent="0.25">
      <c r="A47" s="12"/>
      <c r="B47" s="12"/>
      <c r="C47" s="12"/>
      <c r="D47" s="12"/>
      <c r="E47" s="12"/>
      <c r="F47" s="12"/>
      <c r="G47" s="12"/>
      <c r="H47" s="12"/>
      <c r="I47" s="12"/>
      <c r="J47" s="12"/>
      <c r="K47" s="12"/>
      <c r="L47" s="12"/>
      <c r="M47" s="12"/>
      <c r="N47" s="12"/>
      <c r="O47" s="17"/>
      <c r="P47" s="17"/>
      <c r="Q47" s="17"/>
      <c r="R47" s="17"/>
      <c r="S47" s="17"/>
      <c r="T47" s="17"/>
      <c r="U47" s="17"/>
      <c r="V47" s="17"/>
      <c r="W47" s="17"/>
      <c r="X47" s="17"/>
      <c r="Y47" s="17"/>
      <c r="Z47" s="17"/>
    </row>
    <row r="48" spans="1:26" x14ac:dyDescent="0.25">
      <c r="A48" s="12"/>
      <c r="B48" s="12"/>
      <c r="C48" s="12"/>
      <c r="D48" s="12"/>
      <c r="E48" s="12"/>
      <c r="F48" s="12"/>
      <c r="G48" s="12"/>
      <c r="H48" s="12"/>
      <c r="I48" s="12"/>
      <c r="J48" s="12"/>
      <c r="K48" s="12"/>
      <c r="L48" s="12"/>
      <c r="M48" s="12"/>
      <c r="N48" s="12"/>
      <c r="O48" s="17"/>
      <c r="P48" s="17"/>
      <c r="Q48" s="17"/>
      <c r="R48" s="17"/>
      <c r="S48" s="17"/>
      <c r="T48" s="17"/>
      <c r="U48" s="17"/>
      <c r="V48" s="17"/>
      <c r="W48" s="17"/>
      <c r="X48" s="17"/>
      <c r="Y48" s="17"/>
      <c r="Z48" s="17"/>
    </row>
    <row r="49" spans="1:26" x14ac:dyDescent="0.25">
      <c r="A49" s="12"/>
      <c r="B49" s="12"/>
      <c r="C49" s="12"/>
      <c r="D49" s="12"/>
      <c r="E49" s="12"/>
      <c r="F49" s="12"/>
      <c r="G49" s="12"/>
      <c r="H49" s="12"/>
      <c r="I49" s="12"/>
      <c r="J49" s="12"/>
      <c r="K49" s="12"/>
      <c r="L49" s="12"/>
      <c r="M49" s="12"/>
      <c r="N49" s="12"/>
      <c r="O49" s="17"/>
      <c r="P49" s="17"/>
      <c r="Q49" s="17"/>
      <c r="R49" s="17"/>
      <c r="S49" s="17"/>
      <c r="T49" s="17"/>
      <c r="U49" s="17"/>
      <c r="V49" s="17"/>
      <c r="W49" s="17"/>
      <c r="X49" s="17"/>
      <c r="Y49" s="17"/>
      <c r="Z49" s="17"/>
    </row>
    <row r="50" spans="1:26" x14ac:dyDescent="0.25">
      <c r="A50" s="12"/>
      <c r="B50" s="12"/>
      <c r="C50" s="12"/>
      <c r="D50" s="12"/>
      <c r="E50" s="12"/>
      <c r="F50" s="12"/>
      <c r="G50" s="12"/>
      <c r="H50" s="12"/>
      <c r="I50" s="12"/>
      <c r="J50" s="12"/>
      <c r="K50" s="12"/>
      <c r="L50" s="12"/>
      <c r="M50" s="12"/>
      <c r="N50" s="12"/>
      <c r="O50" s="17"/>
      <c r="P50" s="17"/>
      <c r="Q50" s="17"/>
      <c r="R50" s="17"/>
      <c r="S50" s="17"/>
      <c r="T50" s="17"/>
      <c r="U50" s="17"/>
      <c r="V50" s="17"/>
      <c r="W50" s="17"/>
      <c r="X50" s="17"/>
      <c r="Y50" s="17"/>
      <c r="Z50" s="17"/>
    </row>
    <row r="51" spans="1:26" x14ac:dyDescent="0.25">
      <c r="A51" s="12"/>
      <c r="B51" s="12"/>
      <c r="C51" s="12"/>
      <c r="D51" s="12"/>
      <c r="E51" s="12"/>
      <c r="F51" s="12"/>
      <c r="G51" s="12"/>
      <c r="H51" s="12"/>
      <c r="I51" s="12"/>
      <c r="J51" s="12"/>
      <c r="K51" s="12"/>
      <c r="L51" s="12"/>
      <c r="M51" s="12"/>
      <c r="N51" s="12"/>
      <c r="O51" s="17"/>
      <c r="P51" s="17"/>
      <c r="Q51" s="17"/>
      <c r="R51" s="17"/>
      <c r="S51" s="17"/>
      <c r="T51" s="17"/>
      <c r="U51" s="17"/>
      <c r="V51" s="17"/>
      <c r="W51" s="17"/>
      <c r="X51" s="17"/>
      <c r="Y51" s="17"/>
      <c r="Z51" s="17"/>
    </row>
    <row r="52" spans="1:26" x14ac:dyDescent="0.25">
      <c r="A52" s="12"/>
      <c r="B52" s="12"/>
      <c r="C52" s="12"/>
      <c r="D52" s="12"/>
      <c r="E52" s="12"/>
      <c r="F52" s="12"/>
      <c r="G52" s="12"/>
      <c r="H52" s="12"/>
      <c r="I52" s="12"/>
      <c r="J52" s="12"/>
      <c r="K52" s="12"/>
      <c r="L52" s="12"/>
      <c r="M52" s="12"/>
      <c r="N52" s="12"/>
      <c r="O52" s="17"/>
      <c r="P52" s="17"/>
      <c r="Q52" s="17"/>
      <c r="R52" s="17"/>
      <c r="S52" s="17"/>
      <c r="T52" s="17"/>
      <c r="U52" s="17"/>
      <c r="V52" s="17"/>
      <c r="W52" s="17"/>
      <c r="X52" s="17"/>
      <c r="Y52" s="17"/>
      <c r="Z52" s="17"/>
    </row>
    <row r="53" spans="1:26" x14ac:dyDescent="0.25">
      <c r="A53" s="12"/>
      <c r="B53" s="12"/>
      <c r="C53" s="12"/>
      <c r="D53" s="12"/>
      <c r="E53" s="12"/>
      <c r="F53" s="12"/>
      <c r="G53" s="12"/>
      <c r="H53" s="12"/>
      <c r="I53" s="12"/>
      <c r="J53" s="12"/>
      <c r="K53" s="12"/>
      <c r="L53" s="12"/>
      <c r="M53" s="12"/>
      <c r="N53" s="12"/>
      <c r="O53" s="17"/>
      <c r="P53" s="17"/>
      <c r="Q53" s="17"/>
      <c r="R53" s="17"/>
      <c r="S53" s="17"/>
      <c r="T53" s="17"/>
      <c r="U53" s="17"/>
      <c r="V53" s="17"/>
      <c r="W53" s="17"/>
      <c r="X53" s="17"/>
      <c r="Y53" s="17"/>
      <c r="Z53" s="17"/>
    </row>
    <row r="54" spans="1:26" x14ac:dyDescent="0.25">
      <c r="A54" s="12"/>
      <c r="B54" s="12"/>
      <c r="C54" s="12"/>
      <c r="D54" s="12"/>
      <c r="E54" s="12"/>
      <c r="F54" s="12"/>
      <c r="G54" s="12"/>
      <c r="H54" s="12"/>
      <c r="I54" s="12"/>
      <c r="J54" s="12"/>
      <c r="K54" s="12"/>
      <c r="L54" s="12"/>
      <c r="M54" s="12"/>
      <c r="N54" s="12"/>
      <c r="O54" s="17"/>
      <c r="P54" s="17"/>
      <c r="Q54" s="17"/>
      <c r="R54" s="17"/>
      <c r="S54" s="17"/>
      <c r="T54" s="17"/>
      <c r="U54" s="17"/>
      <c r="V54" s="17"/>
      <c r="W54" s="17"/>
      <c r="X54" s="17"/>
      <c r="Y54" s="17"/>
      <c r="Z54" s="17"/>
    </row>
    <row r="55" spans="1:26" x14ac:dyDescent="0.25">
      <c r="A55" s="12"/>
      <c r="B55" s="12"/>
      <c r="C55" s="12"/>
      <c r="D55" s="12"/>
      <c r="E55" s="12"/>
      <c r="F55" s="12"/>
      <c r="G55" s="12"/>
      <c r="H55" s="12"/>
      <c r="I55" s="12"/>
      <c r="J55" s="12"/>
      <c r="K55" s="12"/>
      <c r="L55" s="12"/>
      <c r="M55" s="12"/>
      <c r="N55" s="12"/>
      <c r="O55" s="17"/>
      <c r="P55" s="17"/>
      <c r="Q55" s="17"/>
      <c r="R55" s="17"/>
      <c r="S55" s="17"/>
      <c r="T55" s="17"/>
      <c r="U55" s="17"/>
      <c r="V55" s="17"/>
      <c r="W55" s="17"/>
      <c r="X55" s="17"/>
      <c r="Y55" s="17"/>
      <c r="Z55" s="17"/>
    </row>
    <row r="56" spans="1:26" x14ac:dyDescent="0.25">
      <c r="A56" s="12"/>
      <c r="B56" s="12"/>
      <c r="C56" s="12"/>
      <c r="D56" s="12"/>
      <c r="E56" s="12"/>
      <c r="F56" s="12"/>
      <c r="G56" s="12"/>
      <c r="H56" s="12"/>
      <c r="I56" s="12"/>
      <c r="J56" s="12"/>
      <c r="K56" s="12"/>
      <c r="L56" s="12"/>
      <c r="M56" s="12"/>
      <c r="N56" s="12"/>
      <c r="O56" s="17"/>
      <c r="P56" s="17"/>
      <c r="Q56" s="17"/>
      <c r="R56" s="17"/>
      <c r="S56" s="17"/>
      <c r="T56" s="17"/>
      <c r="U56" s="17"/>
      <c r="V56" s="17"/>
      <c r="W56" s="17"/>
      <c r="X56" s="17"/>
      <c r="Y56" s="17"/>
      <c r="Z56" s="17"/>
    </row>
    <row r="57" spans="1:26" x14ac:dyDescent="0.25">
      <c r="A57" s="12"/>
      <c r="B57" s="12"/>
      <c r="C57" s="12"/>
      <c r="D57" s="12"/>
      <c r="E57" s="12"/>
      <c r="F57" s="12"/>
      <c r="G57" s="12"/>
      <c r="H57" s="12"/>
      <c r="I57" s="12"/>
      <c r="J57" s="12"/>
      <c r="K57" s="12"/>
      <c r="L57" s="12"/>
      <c r="M57" s="12"/>
      <c r="N57" s="12"/>
      <c r="O57" s="17"/>
      <c r="P57" s="17"/>
      <c r="Q57" s="17"/>
      <c r="R57" s="17"/>
      <c r="S57" s="17"/>
      <c r="T57" s="17"/>
      <c r="U57" s="17"/>
      <c r="V57" s="17"/>
      <c r="W57" s="17"/>
      <c r="X57" s="17"/>
      <c r="Y57" s="17"/>
      <c r="Z57" s="17"/>
    </row>
    <row r="58" spans="1:26" x14ac:dyDescent="0.25">
      <c r="A58" s="12"/>
      <c r="B58" s="12"/>
      <c r="C58" s="12"/>
      <c r="D58" s="12"/>
      <c r="E58" s="12"/>
      <c r="F58" s="12"/>
      <c r="G58" s="12"/>
      <c r="H58" s="12"/>
      <c r="I58" s="12"/>
      <c r="J58" s="12"/>
      <c r="K58" s="12"/>
      <c r="L58" s="12"/>
      <c r="M58" s="12"/>
      <c r="N58" s="12"/>
      <c r="O58" s="17"/>
      <c r="P58" s="17"/>
      <c r="Q58" s="17"/>
      <c r="R58" s="17"/>
      <c r="S58" s="17"/>
      <c r="T58" s="17"/>
      <c r="U58" s="17"/>
      <c r="V58" s="17"/>
      <c r="W58" s="17"/>
      <c r="X58" s="17"/>
      <c r="Y58" s="17"/>
      <c r="Z58" s="17"/>
    </row>
    <row r="59" spans="1:26" x14ac:dyDescent="0.25">
      <c r="A59" s="12"/>
      <c r="B59" s="12"/>
      <c r="C59" s="12"/>
      <c r="D59" s="12"/>
      <c r="E59" s="12"/>
      <c r="F59" s="12"/>
      <c r="G59" s="12"/>
      <c r="H59" s="12"/>
      <c r="I59" s="12"/>
      <c r="J59" s="12"/>
      <c r="K59" s="12"/>
      <c r="L59" s="12"/>
      <c r="M59" s="12"/>
      <c r="N59" s="12"/>
      <c r="O59" s="17"/>
      <c r="P59" s="17"/>
      <c r="Q59" s="17"/>
      <c r="R59" s="17"/>
      <c r="S59" s="17"/>
      <c r="T59" s="17"/>
      <c r="U59" s="17"/>
      <c r="V59" s="17"/>
      <c r="W59" s="17"/>
      <c r="X59" s="17"/>
      <c r="Y59" s="17"/>
      <c r="Z59" s="17"/>
    </row>
    <row r="60" spans="1:26" x14ac:dyDescent="0.25">
      <c r="A60" s="12"/>
      <c r="B60" s="12"/>
      <c r="C60" s="12"/>
      <c r="D60" s="12"/>
      <c r="E60" s="12"/>
      <c r="F60" s="12"/>
      <c r="G60" s="12"/>
      <c r="H60" s="12"/>
      <c r="I60" s="12"/>
      <c r="J60" s="12"/>
      <c r="K60" s="12"/>
      <c r="L60" s="12"/>
      <c r="M60" s="12"/>
      <c r="N60" s="12"/>
      <c r="O60" s="17"/>
      <c r="P60" s="17"/>
      <c r="Q60" s="17"/>
      <c r="R60" s="17"/>
      <c r="S60" s="17"/>
      <c r="T60" s="17"/>
      <c r="U60" s="17"/>
      <c r="V60" s="17"/>
      <c r="W60" s="17"/>
      <c r="X60" s="17"/>
      <c r="Y60" s="17"/>
      <c r="Z60" s="17"/>
    </row>
    <row r="61" spans="1:26" x14ac:dyDescent="0.25">
      <c r="A61" s="12"/>
      <c r="B61" s="12"/>
      <c r="C61" s="12"/>
      <c r="D61" s="12"/>
      <c r="E61" s="12"/>
      <c r="F61" s="12"/>
      <c r="G61" s="12"/>
      <c r="H61" s="12"/>
      <c r="I61" s="12"/>
      <c r="J61" s="12"/>
      <c r="K61" s="12"/>
      <c r="L61" s="12"/>
      <c r="M61" s="12"/>
      <c r="N61" s="12"/>
      <c r="O61" s="17"/>
      <c r="P61" s="17"/>
      <c r="Q61" s="17"/>
      <c r="R61" s="17"/>
      <c r="S61" s="17"/>
      <c r="T61" s="17"/>
      <c r="U61" s="17"/>
      <c r="V61" s="17"/>
      <c r="W61" s="17"/>
      <c r="X61" s="17"/>
      <c r="Y61" s="17"/>
      <c r="Z61" s="17"/>
    </row>
    <row r="62" spans="1:26" x14ac:dyDescent="0.25">
      <c r="A62" s="12"/>
      <c r="B62" s="12"/>
      <c r="C62" s="12"/>
      <c r="D62" s="12"/>
      <c r="E62" s="12"/>
      <c r="F62" s="12"/>
      <c r="G62" s="12"/>
      <c r="H62" s="12"/>
      <c r="I62" s="12"/>
      <c r="J62" s="12"/>
      <c r="K62" s="12"/>
      <c r="L62" s="12"/>
      <c r="M62" s="12"/>
      <c r="N62" s="12"/>
      <c r="O62" s="17"/>
      <c r="P62" s="17"/>
      <c r="Q62" s="17"/>
      <c r="R62" s="17"/>
      <c r="S62" s="17"/>
      <c r="T62" s="17"/>
      <c r="U62" s="17"/>
      <c r="V62" s="17"/>
      <c r="W62" s="17"/>
      <c r="X62" s="17"/>
      <c r="Y62" s="17"/>
      <c r="Z62" s="17"/>
    </row>
    <row r="63" spans="1:26" x14ac:dyDescent="0.25">
      <c r="A63" s="12"/>
      <c r="B63" s="12"/>
      <c r="C63" s="12"/>
      <c r="D63" s="12"/>
      <c r="E63" s="12"/>
      <c r="F63" s="12"/>
      <c r="G63" s="12"/>
      <c r="H63" s="12"/>
      <c r="I63" s="12"/>
      <c r="J63" s="12"/>
      <c r="K63" s="12"/>
      <c r="L63" s="12"/>
      <c r="M63" s="12"/>
      <c r="N63" s="12"/>
      <c r="O63" s="17"/>
      <c r="P63" s="17"/>
      <c r="Q63" s="17"/>
      <c r="R63" s="17"/>
      <c r="S63" s="17"/>
      <c r="T63" s="17"/>
      <c r="U63" s="17"/>
      <c r="V63" s="17"/>
      <c r="W63" s="17"/>
      <c r="X63" s="17"/>
      <c r="Y63" s="17"/>
      <c r="Z63" s="17"/>
    </row>
    <row r="64" spans="1:26" x14ac:dyDescent="0.25">
      <c r="A64" s="12"/>
      <c r="B64" s="12"/>
      <c r="C64" s="12"/>
      <c r="D64" s="12"/>
      <c r="E64" s="12"/>
      <c r="F64" s="12"/>
      <c r="G64" s="12"/>
      <c r="H64" s="12"/>
      <c r="I64" s="12"/>
      <c r="J64" s="12"/>
      <c r="K64" s="12"/>
      <c r="L64" s="12"/>
      <c r="M64" s="12"/>
      <c r="N64" s="12"/>
      <c r="O64" s="17"/>
      <c r="P64" s="17"/>
      <c r="Q64" s="17"/>
      <c r="R64" s="17"/>
      <c r="S64" s="17"/>
      <c r="T64" s="17"/>
      <c r="U64" s="17"/>
      <c r="V64" s="17"/>
      <c r="W64" s="17"/>
      <c r="X64" s="17"/>
      <c r="Y64" s="17"/>
      <c r="Z64" s="17"/>
    </row>
    <row r="65" spans="1:26" x14ac:dyDescent="0.25">
      <c r="A65" s="12"/>
      <c r="B65" s="12"/>
      <c r="C65" s="12"/>
      <c r="D65" s="12"/>
      <c r="E65" s="12"/>
      <c r="F65" s="12"/>
      <c r="G65" s="12"/>
      <c r="H65" s="12"/>
      <c r="I65" s="12"/>
      <c r="J65" s="12"/>
      <c r="K65" s="12"/>
      <c r="L65" s="12"/>
      <c r="M65" s="12"/>
      <c r="N65" s="12"/>
      <c r="O65" s="17"/>
      <c r="P65" s="17"/>
      <c r="Q65" s="17"/>
      <c r="R65" s="17"/>
      <c r="S65" s="17"/>
      <c r="T65" s="17"/>
      <c r="U65" s="17"/>
      <c r="V65" s="17"/>
      <c r="W65" s="17"/>
      <c r="X65" s="17"/>
      <c r="Y65" s="17"/>
      <c r="Z65" s="17"/>
    </row>
    <row r="66" spans="1:26" x14ac:dyDescent="0.25">
      <c r="A66" s="12"/>
      <c r="B66" s="12"/>
      <c r="C66" s="12"/>
      <c r="D66" s="12"/>
      <c r="E66" s="12"/>
      <c r="F66" s="12"/>
      <c r="G66" s="12"/>
      <c r="H66" s="12"/>
      <c r="I66" s="12"/>
      <c r="J66" s="12"/>
      <c r="K66" s="12"/>
      <c r="L66" s="12"/>
      <c r="M66" s="12"/>
      <c r="N66" s="12"/>
      <c r="O66" s="17"/>
      <c r="P66" s="17"/>
      <c r="Q66" s="17"/>
      <c r="R66" s="17"/>
      <c r="S66" s="17"/>
      <c r="T66" s="17"/>
      <c r="U66" s="17"/>
      <c r="V66" s="17"/>
      <c r="W66" s="17"/>
      <c r="X66" s="17"/>
      <c r="Y66" s="17"/>
      <c r="Z66" s="17"/>
    </row>
    <row r="67" spans="1:26" x14ac:dyDescent="0.25">
      <c r="A67" s="12"/>
      <c r="B67" s="12"/>
      <c r="C67" s="12"/>
      <c r="D67" s="12"/>
      <c r="E67" s="12"/>
      <c r="F67" s="12"/>
      <c r="G67" s="12"/>
      <c r="H67" s="12"/>
      <c r="I67" s="12"/>
      <c r="J67" s="12"/>
      <c r="K67" s="12"/>
      <c r="L67" s="12"/>
      <c r="M67" s="12"/>
      <c r="N67" s="12"/>
      <c r="O67" s="17"/>
      <c r="P67" s="17"/>
      <c r="Q67" s="17"/>
      <c r="R67" s="17"/>
      <c r="S67" s="17"/>
      <c r="T67" s="17"/>
      <c r="U67" s="17"/>
      <c r="V67" s="17"/>
      <c r="W67" s="17"/>
      <c r="X67" s="17"/>
      <c r="Y67" s="17"/>
      <c r="Z67" s="17"/>
    </row>
    <row r="68" spans="1:26" x14ac:dyDescent="0.25">
      <c r="A68" s="12"/>
      <c r="B68" s="12"/>
      <c r="C68" s="12"/>
      <c r="D68" s="12"/>
      <c r="E68" s="12"/>
      <c r="F68" s="12"/>
      <c r="G68" s="12"/>
      <c r="H68" s="12"/>
      <c r="I68" s="12"/>
      <c r="J68" s="12"/>
      <c r="K68" s="12"/>
      <c r="L68" s="12"/>
      <c r="M68" s="12"/>
      <c r="N68" s="12"/>
      <c r="O68" s="17"/>
      <c r="P68" s="17"/>
      <c r="Q68" s="17"/>
      <c r="R68" s="17"/>
      <c r="S68" s="17"/>
      <c r="T68" s="17"/>
      <c r="U68" s="17"/>
      <c r="V68" s="17"/>
      <c r="W68" s="17"/>
      <c r="X68" s="17"/>
      <c r="Y68" s="17"/>
      <c r="Z68" s="17"/>
    </row>
    <row r="69" spans="1:26" x14ac:dyDescent="0.25">
      <c r="A69" s="12"/>
      <c r="B69" s="12"/>
      <c r="C69" s="12"/>
      <c r="D69" s="12"/>
      <c r="E69" s="12"/>
      <c r="F69" s="12"/>
      <c r="G69" s="12"/>
      <c r="H69" s="12"/>
      <c r="I69" s="12"/>
      <c r="J69" s="12"/>
      <c r="K69" s="12"/>
      <c r="L69" s="12"/>
      <c r="M69" s="12"/>
      <c r="N69" s="12"/>
      <c r="O69" s="17"/>
      <c r="P69" s="17"/>
      <c r="Q69" s="17"/>
      <c r="R69" s="17"/>
      <c r="S69" s="17"/>
      <c r="T69" s="17"/>
      <c r="U69" s="17"/>
      <c r="V69" s="17"/>
      <c r="W69" s="17"/>
      <c r="X69" s="17"/>
      <c r="Y69" s="17"/>
      <c r="Z69" s="17"/>
    </row>
    <row r="70" spans="1:26" x14ac:dyDescent="0.25">
      <c r="A70" s="12"/>
      <c r="B70" s="12"/>
      <c r="C70" s="12"/>
      <c r="D70" s="12"/>
      <c r="E70" s="12"/>
      <c r="F70" s="12"/>
      <c r="G70" s="12"/>
      <c r="H70" s="12"/>
      <c r="I70" s="12"/>
      <c r="J70" s="12"/>
      <c r="K70" s="12"/>
      <c r="L70" s="12"/>
      <c r="M70" s="12"/>
      <c r="N70" s="12"/>
      <c r="O70" s="17"/>
      <c r="P70" s="17"/>
      <c r="Q70" s="17"/>
      <c r="R70" s="17"/>
      <c r="S70" s="17"/>
      <c r="T70" s="17"/>
      <c r="U70" s="17"/>
      <c r="V70" s="17"/>
      <c r="W70" s="17"/>
      <c r="X70" s="17"/>
      <c r="Y70" s="17"/>
      <c r="Z70" s="17"/>
    </row>
    <row r="71" spans="1:26" x14ac:dyDescent="0.25">
      <c r="A71" s="12"/>
      <c r="B71" s="12"/>
      <c r="C71" s="12"/>
      <c r="D71" s="12"/>
      <c r="E71" s="12"/>
      <c r="F71" s="12"/>
      <c r="G71" s="12"/>
      <c r="H71" s="12"/>
      <c r="I71" s="12"/>
      <c r="J71" s="12"/>
      <c r="K71" s="12"/>
      <c r="L71" s="12"/>
      <c r="M71" s="12"/>
      <c r="N71" s="12"/>
      <c r="O71" s="17"/>
      <c r="P71" s="17"/>
      <c r="Q71" s="17"/>
      <c r="R71" s="17"/>
      <c r="S71" s="17"/>
      <c r="T71" s="17"/>
      <c r="U71" s="17"/>
      <c r="V71" s="17"/>
      <c r="W71" s="17"/>
      <c r="X71" s="17"/>
      <c r="Y71" s="17"/>
      <c r="Z71" s="17"/>
    </row>
    <row r="72" spans="1:26" x14ac:dyDescent="0.25">
      <c r="A72" s="12"/>
      <c r="B72" s="12"/>
      <c r="C72" s="12"/>
      <c r="D72" s="12"/>
      <c r="E72" s="12"/>
      <c r="F72" s="12"/>
      <c r="G72" s="12"/>
      <c r="H72" s="12"/>
      <c r="I72" s="12"/>
      <c r="J72" s="12"/>
      <c r="K72" s="12"/>
      <c r="L72" s="12"/>
      <c r="M72" s="12"/>
      <c r="N72" s="12"/>
      <c r="O72" s="17"/>
      <c r="P72" s="17"/>
      <c r="Q72" s="17"/>
      <c r="R72" s="17"/>
      <c r="S72" s="17"/>
      <c r="T72" s="17"/>
      <c r="U72" s="17"/>
      <c r="V72" s="17"/>
      <c r="W72" s="17"/>
      <c r="X72" s="17"/>
      <c r="Y72" s="17"/>
      <c r="Z72" s="17"/>
    </row>
    <row r="73" spans="1:26" x14ac:dyDescent="0.25">
      <c r="A73" s="12"/>
      <c r="B73" s="12"/>
      <c r="C73" s="12"/>
      <c r="D73" s="12"/>
      <c r="E73" s="12"/>
      <c r="F73" s="12"/>
      <c r="G73" s="12"/>
      <c r="H73" s="12"/>
      <c r="I73" s="12"/>
      <c r="J73" s="12"/>
      <c r="K73" s="12"/>
      <c r="L73" s="12"/>
      <c r="M73" s="12"/>
      <c r="N73" s="12"/>
      <c r="O73" s="17"/>
      <c r="P73" s="17"/>
      <c r="Q73" s="17"/>
      <c r="R73" s="17"/>
      <c r="S73" s="17"/>
      <c r="T73" s="17"/>
      <c r="U73" s="17"/>
      <c r="V73" s="17"/>
      <c r="W73" s="17"/>
      <c r="X73" s="17"/>
      <c r="Y73" s="17"/>
      <c r="Z73" s="17"/>
    </row>
    <row r="74" spans="1:26" x14ac:dyDescent="0.25">
      <c r="A74" s="12"/>
      <c r="B74" s="12"/>
      <c r="C74" s="12"/>
      <c r="D74" s="12"/>
      <c r="E74" s="12"/>
      <c r="F74" s="12"/>
      <c r="G74" s="12"/>
      <c r="H74" s="12"/>
      <c r="I74" s="12"/>
      <c r="J74" s="12"/>
      <c r="K74" s="12"/>
      <c r="L74" s="12"/>
      <c r="M74" s="12"/>
      <c r="N74" s="12"/>
      <c r="O74" s="17"/>
      <c r="P74" s="17"/>
      <c r="Q74" s="17"/>
      <c r="R74" s="17"/>
      <c r="S74" s="17"/>
      <c r="T74" s="17"/>
      <c r="U74" s="17"/>
      <c r="V74" s="17"/>
      <c r="W74" s="17"/>
      <c r="X74" s="17"/>
      <c r="Y74" s="17"/>
      <c r="Z74" s="17"/>
    </row>
    <row r="75" spans="1:26" x14ac:dyDescent="0.25">
      <c r="A75" s="12"/>
      <c r="B75" s="12"/>
      <c r="C75" s="12"/>
      <c r="D75" s="12"/>
      <c r="E75" s="12"/>
      <c r="F75" s="12"/>
      <c r="G75" s="12"/>
      <c r="H75" s="12"/>
      <c r="I75" s="12"/>
      <c r="J75" s="12"/>
      <c r="K75" s="12"/>
      <c r="L75" s="12"/>
      <c r="M75" s="12"/>
      <c r="N75" s="12"/>
      <c r="O75" s="17"/>
      <c r="P75" s="17"/>
      <c r="Q75" s="17"/>
      <c r="R75" s="17"/>
      <c r="S75" s="17"/>
      <c r="T75" s="17"/>
      <c r="U75" s="17"/>
      <c r="V75" s="17"/>
      <c r="W75" s="17"/>
      <c r="X75" s="17"/>
      <c r="Y75" s="17"/>
      <c r="Z75" s="17"/>
    </row>
    <row r="76" spans="1:26" x14ac:dyDescent="0.25">
      <c r="A76" s="12"/>
      <c r="B76" s="12"/>
      <c r="C76" s="12"/>
      <c r="D76" s="12"/>
      <c r="E76" s="12"/>
      <c r="F76" s="12"/>
      <c r="G76" s="12"/>
      <c r="H76" s="12"/>
      <c r="I76" s="12"/>
      <c r="J76" s="12"/>
      <c r="K76" s="12"/>
      <c r="L76" s="12"/>
      <c r="M76" s="12"/>
      <c r="N76" s="12"/>
      <c r="O76" s="17"/>
      <c r="P76" s="17"/>
      <c r="Q76" s="17"/>
      <c r="R76" s="17"/>
      <c r="S76" s="17"/>
      <c r="T76" s="17"/>
      <c r="U76" s="17"/>
      <c r="V76" s="17"/>
      <c r="W76" s="17"/>
      <c r="X76" s="17"/>
      <c r="Y76" s="17"/>
      <c r="Z76" s="17"/>
    </row>
    <row r="77" spans="1:26" ht="15.75" x14ac:dyDescent="0.25">
      <c r="A77" s="12"/>
      <c r="B77" s="16" t="s">
        <v>29</v>
      </c>
      <c r="C77" s="12"/>
      <c r="D77" s="12"/>
      <c r="E77" s="12"/>
      <c r="F77" s="12"/>
      <c r="G77" s="12"/>
      <c r="H77" s="12"/>
      <c r="I77" s="12"/>
      <c r="J77" s="12"/>
      <c r="K77" s="12"/>
      <c r="L77" s="12"/>
      <c r="M77" s="12"/>
      <c r="N77" s="12"/>
      <c r="O77" s="17"/>
      <c r="P77" s="17"/>
      <c r="Q77" s="17"/>
      <c r="R77" s="17"/>
      <c r="S77" s="17"/>
      <c r="T77" s="17"/>
      <c r="U77" s="17"/>
      <c r="V77" s="17"/>
      <c r="W77" s="17"/>
      <c r="X77" s="17"/>
      <c r="Y77" s="17"/>
      <c r="Z77" s="17"/>
    </row>
    <row r="78" spans="1:26" ht="15.75" x14ac:dyDescent="0.25">
      <c r="A78" s="12"/>
      <c r="B78" s="16" t="s">
        <v>30</v>
      </c>
      <c r="C78" s="12"/>
      <c r="D78" s="12"/>
      <c r="E78" s="12"/>
      <c r="F78" s="12"/>
      <c r="G78" s="12"/>
      <c r="H78" s="12"/>
      <c r="I78" s="12"/>
      <c r="J78" s="12"/>
      <c r="K78" s="12"/>
      <c r="L78" s="12"/>
      <c r="M78" s="12"/>
      <c r="N78" s="12"/>
      <c r="O78" s="17"/>
      <c r="P78" s="17"/>
      <c r="Q78" s="17"/>
      <c r="R78" s="17"/>
      <c r="S78" s="17"/>
      <c r="T78" s="17"/>
      <c r="U78" s="17"/>
      <c r="V78" s="17"/>
      <c r="W78" s="17"/>
      <c r="X78" s="17"/>
      <c r="Y78" s="17"/>
      <c r="Z78" s="17"/>
    </row>
    <row r="79" spans="1:26" ht="15.75" x14ac:dyDescent="0.25">
      <c r="A79" s="12"/>
      <c r="B79" s="16" t="s">
        <v>31</v>
      </c>
      <c r="C79" s="12"/>
      <c r="D79" s="12"/>
      <c r="E79" s="12"/>
      <c r="F79" s="12"/>
      <c r="G79" s="12"/>
      <c r="H79" s="12"/>
      <c r="I79" s="12"/>
      <c r="J79" s="12"/>
      <c r="K79" s="12"/>
      <c r="L79" s="12"/>
      <c r="M79" s="12"/>
      <c r="N79" s="12"/>
      <c r="O79" s="17"/>
      <c r="P79" s="17"/>
      <c r="Q79" s="17"/>
      <c r="R79" s="17"/>
      <c r="S79" s="17"/>
      <c r="T79" s="17"/>
      <c r="U79" s="17"/>
      <c r="V79" s="17"/>
      <c r="W79" s="17"/>
      <c r="X79" s="17"/>
      <c r="Y79" s="17"/>
      <c r="Z79" s="17"/>
    </row>
    <row r="80" spans="1:26"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8.75" x14ac:dyDescent="0.3">
      <c r="A81" s="12"/>
      <c r="B81" s="12"/>
      <c r="C81" s="12"/>
      <c r="D81" s="12"/>
      <c r="E81" s="12"/>
      <c r="F81" s="12"/>
      <c r="G81" s="12"/>
      <c r="H81" s="12"/>
      <c r="I81" s="12"/>
      <c r="J81" s="12"/>
      <c r="K81" s="12"/>
      <c r="L81" s="12"/>
      <c r="M81" s="12"/>
      <c r="N81" s="12"/>
      <c r="O81" s="12"/>
      <c r="P81" s="12"/>
      <c r="Q81" s="12"/>
      <c r="R81" s="12"/>
      <c r="S81" s="12"/>
      <c r="T81" s="48" t="s">
        <v>42</v>
      </c>
      <c r="U81" s="12"/>
      <c r="V81" s="12"/>
      <c r="W81" s="12"/>
      <c r="X81" s="12"/>
      <c r="Y81" s="12"/>
      <c r="Z81" s="12"/>
    </row>
    <row r="82" spans="1:26"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30" customHeight="1" x14ac:dyDescent="0.25">
      <c r="A87" s="12"/>
      <c r="B87" s="12"/>
      <c r="C87" s="12"/>
      <c r="D87" s="12"/>
      <c r="E87" s="12"/>
      <c r="F87" s="12"/>
      <c r="G87" s="12"/>
      <c r="H87" s="12"/>
      <c r="I87" s="12"/>
      <c r="J87" s="12"/>
      <c r="K87" s="13"/>
      <c r="L87" s="13"/>
      <c r="M87" s="13"/>
      <c r="N87" s="12"/>
      <c r="O87" s="12"/>
      <c r="P87" s="12"/>
      <c r="Q87" s="12"/>
      <c r="R87" s="12"/>
      <c r="S87" s="12"/>
      <c r="T87" s="12"/>
      <c r="U87" s="12"/>
      <c r="V87" s="12"/>
      <c r="W87" s="12"/>
      <c r="X87" s="12"/>
      <c r="Y87" s="12"/>
      <c r="Z87" s="12"/>
    </row>
    <row r="88" spans="1:26"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21" spans="1:26" x14ac:dyDescent="0.25">
      <c r="D121" s="14"/>
      <c r="E121" s="14"/>
      <c r="F121" s="14"/>
      <c r="G121" s="14"/>
      <c r="H121" s="14"/>
    </row>
    <row r="122" spans="1:26" x14ac:dyDescent="0.25">
      <c r="D122" s="14"/>
      <c r="E122" s="14"/>
      <c r="F122" s="14"/>
      <c r="G122" s="14"/>
      <c r="H122" s="14"/>
    </row>
    <row r="127" spans="1:26" x14ac:dyDescent="0.25">
      <c r="D127" s="15"/>
      <c r="E127" s="15"/>
      <c r="F127" s="15"/>
      <c r="G127" s="15"/>
      <c r="H127" s="15"/>
    </row>
  </sheetData>
  <sheetProtection algorithmName="SHA-512" hashValue="/93CUMh+xYnjcheC+gYKGpSnufiEAZEZG2wndHb+5mP/bRZzgvEP6JAeBAn8m1zKyMGSXu/CSSjpnvWFZ/ikXQ==" saltValue="wIzKfr8t0DmUddvWUyujUw==" spinCount="100000" sheet="1" objects="1" scenarios="1"/>
  <pageMargins left="3.937007874015748E-2" right="3.937007874015748E-2" top="7.874015748031496E-2" bottom="7.874015748031496E-2" header="0.31496062992125984" footer="0.31496062992125984"/>
  <pageSetup paperSize="9" pageOrder="overThenDown"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4" tint="0.59999389629810485"/>
  </sheetPr>
  <dimension ref="A1:H17"/>
  <sheetViews>
    <sheetView showGridLines="0" zoomScale="120" zoomScaleNormal="120" workbookViewId="0">
      <pane ySplit="4" topLeftCell="A5" activePane="bottomLeft" state="frozen"/>
      <selection activeCell="C6" sqref="C6:J6"/>
      <selection pane="bottomLeft" activeCell="C6" sqref="C6:J6"/>
    </sheetView>
  </sheetViews>
  <sheetFormatPr baseColWidth="10" defaultColWidth="10.5703125" defaultRowHeight="11.25" x14ac:dyDescent="0.25"/>
  <cols>
    <col min="1" max="1" width="5.85546875" style="40" customWidth="1"/>
    <col min="2" max="2" width="9.7109375" style="40" customWidth="1"/>
    <col min="3" max="4" width="27.7109375" style="40" customWidth="1"/>
    <col min="5" max="5" width="25.140625" style="40" customWidth="1"/>
    <col min="6" max="6" width="9.42578125" style="40" customWidth="1"/>
    <col min="7" max="7" width="17.42578125" style="40" customWidth="1"/>
    <col min="8" max="8" width="15.42578125" style="40" customWidth="1"/>
    <col min="9" max="9" width="9" style="40" bestFit="1" customWidth="1"/>
    <col min="10" max="10" width="8.140625" style="40" bestFit="1" customWidth="1"/>
    <col min="11" max="11" width="11" style="40" bestFit="1" customWidth="1"/>
    <col min="12" max="12" width="1.42578125" style="40" bestFit="1" customWidth="1"/>
    <col min="13" max="13" width="7.5703125" style="40" bestFit="1" customWidth="1"/>
    <col min="14" max="14" width="7.85546875" style="40" bestFit="1" customWidth="1"/>
    <col min="15" max="16384" width="10.5703125" style="40"/>
  </cols>
  <sheetData>
    <row r="1" spans="1:8" ht="15.75" customHeight="1" x14ac:dyDescent="0.25">
      <c r="A1" s="58" t="s">
        <v>39</v>
      </c>
      <c r="B1" s="58"/>
      <c r="C1" s="39" t="s">
        <v>22</v>
      </c>
      <c r="D1" s="57" t="str">
        <f>IF(ISBLANK('Supervis@r'!$C$2),"",'Supervis@r'!$C$2)</f>
        <v>ENCARGADOS Y CAPATACES</v>
      </c>
      <c r="E1" s="57"/>
      <c r="F1" s="57"/>
      <c r="G1" s="57"/>
      <c r="H1" s="57"/>
    </row>
    <row r="2" spans="1:8" ht="15.75" customHeight="1" x14ac:dyDescent="0.25">
      <c r="A2" s="59" t="str">
        <f>CONCATENATE('Supervis@r'!$I$2,"-",'Supervis@r'!$J$2)</f>
        <v>2025-2026</v>
      </c>
      <c r="B2" s="59"/>
      <c r="C2" s="39" t="s">
        <v>0</v>
      </c>
      <c r="D2" s="57" t="str">
        <f>IF(ISBLANK('Supervis@r'!$C$3),"",CONCATENATE('Supervis@r'!$C$3," ",'Supervis@r'!$C$4,", ",'Supervis@r'!$C$5))</f>
        <v>JEFE JEFE, JOSE</v>
      </c>
      <c r="E2" s="57"/>
      <c r="F2" s="57"/>
      <c r="G2" s="57"/>
      <c r="H2" s="57"/>
    </row>
    <row r="3" spans="1:8" s="31" customFormat="1" ht="9.75" customHeight="1" x14ac:dyDescent="0.25"/>
    <row r="4" spans="1:8" s="44" customFormat="1" ht="53.25" customHeight="1" x14ac:dyDescent="0.25">
      <c r="A4" s="41" t="s">
        <v>32</v>
      </c>
      <c r="B4" s="42" t="s">
        <v>17</v>
      </c>
      <c r="C4" s="42" t="s">
        <v>33</v>
      </c>
      <c r="D4" s="42" t="s">
        <v>34</v>
      </c>
      <c r="E4" s="42" t="s">
        <v>35</v>
      </c>
      <c r="F4" s="43" t="s">
        <v>25</v>
      </c>
      <c r="G4" s="42" t="s">
        <v>24</v>
      </c>
      <c r="H4" s="42" t="s">
        <v>41</v>
      </c>
    </row>
    <row r="5" spans="1:8" s="47" customFormat="1" ht="15" customHeight="1" x14ac:dyDescent="0.25">
      <c r="A5" s="45">
        <v>1</v>
      </c>
      <c r="B5" s="53" t="str">
        <f>IF(ISBLANK('Supervis@r'!$G$7),"",'Supervis@r'!$G$7)</f>
        <v>23456789B</v>
      </c>
      <c r="C5" s="53" t="str">
        <f>IF(ISBLANK('Supervis@r'!$C$3),"",'Supervis@r'!$C$3)</f>
        <v>JEFE</v>
      </c>
      <c r="D5" s="53" t="str">
        <f>IF(ISBLANK('Supervis@r'!$C$4),"",'Supervis@r'!$C$4)</f>
        <v>JEFE</v>
      </c>
      <c r="E5" s="53" t="str">
        <f>IF(ISBLANK('Supervis@r'!$C$5),"",'Supervis@r'!$C$5)</f>
        <v>JOSE</v>
      </c>
      <c r="F5" s="46">
        <f>IF(ISBLANK('Supervis@r'!$G$7),"",'Supervis@r'!$J$19)</f>
        <v>100</v>
      </c>
      <c r="G5" s="46" t="str">
        <f>IF(B5="","","Supervisor/a")</f>
        <v>Supervisor/a</v>
      </c>
      <c r="H5" s="46" t="str">
        <f t="shared" ref="H5:H17" si="0">IF(B5="","",IF(F5&gt;=0,IF(F5&lt;70,"NO RECIBE BOLSA","RECIBE BOLSA"),""))</f>
        <v>RECIBE BOLSA</v>
      </c>
    </row>
    <row r="6" spans="1:8" s="47" customFormat="1" ht="15" x14ac:dyDescent="0.25">
      <c r="A6" s="45">
        <v>2</v>
      </c>
      <c r="B6" s="53" t="str">
        <f>IF(ISBLANK('Supervis@r_Int1'!$G$5),"",'Supervis@r_Int1'!$G$5)</f>
        <v>23456780D</v>
      </c>
      <c r="C6" s="53" t="str">
        <f>IF(ISBLANK('Supervis@r_Int1'!$C$6),"",'Supervis@r_Int1'!$C$6)</f>
        <v>ADMIN</v>
      </c>
      <c r="D6" s="53" t="str">
        <f>IF(ISBLANK('Supervis@r_Int1'!$C$7),"",'Supervis@r_Int1'!$C$7)</f>
        <v>ADMIN</v>
      </c>
      <c r="E6" s="53" t="str">
        <f>IF(ISBLANK('Supervis@r_Int1'!$C$8),"",'Supervis@r_Int1'!$C$8)</f>
        <v>ANTONIO</v>
      </c>
      <c r="F6" s="46">
        <f>IF(ISBLANK('Supervis@r_Int1'!$G$5),"",'Supervis@r_Int1'!$J$17)</f>
        <v>100</v>
      </c>
      <c r="G6" s="46" t="str">
        <f>IF(B6="","","Supervisor/a Intermedio")</f>
        <v>Supervisor/a Intermedio</v>
      </c>
      <c r="H6" s="46" t="str">
        <f t="shared" si="0"/>
        <v>RECIBE BOLSA</v>
      </c>
    </row>
    <row r="7" spans="1:8" s="47" customFormat="1" ht="15.75" customHeight="1" x14ac:dyDescent="0.25">
      <c r="A7" s="45">
        <v>3</v>
      </c>
      <c r="B7" s="53" t="str">
        <f>IF(ISBLANK('Supervis@r_Int2'!$G$5),"",'Supervis@r_Int2'!$G$5)</f>
        <v>87654321F</v>
      </c>
      <c r="C7" s="53" t="str">
        <f>IF(ISBLANK('Supervis@r_Int2'!$C$6),"",'Supervis@r_Int2'!$C$6)</f>
        <v>MECANICO</v>
      </c>
      <c r="D7" s="53" t="str">
        <f>IF(ISBLANK('Supervis@r_Int2'!$C$7),"",'Supervis@r_Int2'!$C$7)</f>
        <v>MECANICO</v>
      </c>
      <c r="E7" s="53" t="str">
        <f>IF(ISBLANK('Supervis@r_Int2'!$C$8),"",'Supervis@r_Int2'!$C$8)</f>
        <v>EDUARDO</v>
      </c>
      <c r="F7" s="46">
        <f>IF(ISBLANK('Supervis@r_Int2'!$G$5),"",'Supervis@r_Int2'!$J$17)</f>
        <v>100</v>
      </c>
      <c r="G7" s="46" t="str">
        <f t="shared" ref="G7:G17" si="1">IF(B7="","","Supervisor/a Intermedio")</f>
        <v>Supervisor/a Intermedio</v>
      </c>
      <c r="H7" s="46" t="str">
        <f t="shared" si="0"/>
        <v>RECIBE BOLSA</v>
      </c>
    </row>
    <row r="8" spans="1:8" s="47" customFormat="1" ht="15" x14ac:dyDescent="0.25">
      <c r="A8" s="45">
        <v>4</v>
      </c>
      <c r="B8" s="53" t="str">
        <f>IF(ISBLANK('Supervis@r_Int3'!$G$5),"",'Supervis@r_Int3'!$G$5)</f>
        <v/>
      </c>
      <c r="C8" s="53" t="str">
        <f>IF(ISBLANK('Supervis@r_Int3'!$C$6),"",'Supervis@r_Int3'!$C$6)</f>
        <v/>
      </c>
      <c r="D8" s="53" t="str">
        <f>IF(ISBLANK('Supervis@r_Int3'!$C$7),"",'Supervis@r_Int3'!$C$7)</f>
        <v/>
      </c>
      <c r="E8" s="53" t="str">
        <f>IF(ISBLANK('Supervis@r_Int3'!$C$8),"",'Supervis@r_Int3'!$C$8)</f>
        <v/>
      </c>
      <c r="F8" s="46" t="str">
        <f>IF(ISBLANK('Supervis@r_Int3'!$G$5),"",'Supervis@r_Int3'!$J$17)</f>
        <v/>
      </c>
      <c r="G8" s="46" t="str">
        <f t="shared" si="1"/>
        <v/>
      </c>
      <c r="H8" s="46" t="str">
        <f t="shared" si="0"/>
        <v/>
      </c>
    </row>
    <row r="9" spans="1:8" s="47" customFormat="1" ht="15" x14ac:dyDescent="0.25">
      <c r="A9" s="45">
        <v>5</v>
      </c>
      <c r="B9" s="53" t="str">
        <f>IF(ISBLANK('Supervis@r_Int4'!$G$5),"",'Supervis@r_Int4'!$G$5)</f>
        <v/>
      </c>
      <c r="C9" s="53" t="str">
        <f>IF(ISBLANK('Supervis@r_Int4'!$C$6),"",'Supervis@r_Int4'!$C$6)</f>
        <v/>
      </c>
      <c r="D9" s="53" t="str">
        <f>IF(ISBLANK('Supervis@r_Int4'!$C$7),"",'Supervis@r_Int4'!$C$7)</f>
        <v/>
      </c>
      <c r="E9" s="53" t="str">
        <f>IF(ISBLANK('Supervis@r_Int4'!$C$8),"",'Supervis@r_Int4'!$C$8)</f>
        <v/>
      </c>
      <c r="F9" s="46" t="str">
        <f>IF(ISBLANK('Supervis@r_Int4'!$G$5),"",'Supervis@r_Int4'!$J$17)</f>
        <v/>
      </c>
      <c r="G9" s="46" t="str">
        <f t="shared" si="1"/>
        <v/>
      </c>
      <c r="H9" s="46" t="str">
        <f t="shared" si="0"/>
        <v/>
      </c>
    </row>
    <row r="10" spans="1:8" s="47" customFormat="1" ht="15" x14ac:dyDescent="0.25">
      <c r="A10" s="45">
        <v>6</v>
      </c>
      <c r="B10" s="53" t="str">
        <f>IF(ISBLANK('Supervis@r_Int5'!$G$5),"",'Supervis@r_Int5'!$G$5)</f>
        <v/>
      </c>
      <c r="C10" s="53" t="str">
        <f>IF(ISBLANK('Supervis@r_Int5'!$C$6),"",'Supervis@r_Int5'!$C$6)</f>
        <v/>
      </c>
      <c r="D10" s="53" t="str">
        <f>IF(ISBLANK('Supervis@r_Int5'!$C$7),"",'Supervis@r_Int5'!$C$7)</f>
        <v/>
      </c>
      <c r="E10" s="53" t="str">
        <f>IF(ISBLANK('Supervis@r_Int5'!$C$8),"",'Supervis@r_Int5'!$C$8)</f>
        <v/>
      </c>
      <c r="F10" s="46" t="str">
        <f>IF(ISBLANK('Supervis@r_Int5'!$G$5),"",'Supervis@r_Int5'!$J$17)</f>
        <v/>
      </c>
      <c r="G10" s="46" t="str">
        <f t="shared" si="1"/>
        <v/>
      </c>
      <c r="H10" s="46" t="str">
        <f t="shared" si="0"/>
        <v/>
      </c>
    </row>
    <row r="11" spans="1:8" s="47" customFormat="1" ht="15" x14ac:dyDescent="0.25">
      <c r="A11" s="45">
        <v>7</v>
      </c>
      <c r="B11" s="53" t="str">
        <f>IF(ISBLANK('Supervis@r_Int6'!$G$5),"",'Supervis@r_Int6'!$G$5)</f>
        <v/>
      </c>
      <c r="C11" s="53" t="str">
        <f>IF(ISBLANK('Supervis@r_Int6'!$C$6),"",'Supervis@r_Int6'!$C$6)</f>
        <v/>
      </c>
      <c r="D11" s="53" t="str">
        <f>IF(ISBLANK('Supervis@r_Int6'!$C$7),"",'Supervis@r_Int6'!$C$7)</f>
        <v/>
      </c>
      <c r="E11" s="53" t="str">
        <f>IF(ISBLANK('Supervis@r_Int6'!$C$8),"",'Supervis@r_Int6'!$C$8)</f>
        <v/>
      </c>
      <c r="F11" s="46" t="str">
        <f>IF(ISBLANK('Supervis@r_Int6'!$G$5),"",'Supervis@r_Int6'!$J$17)</f>
        <v/>
      </c>
      <c r="G11" s="46" t="str">
        <f t="shared" si="1"/>
        <v/>
      </c>
      <c r="H11" s="46" t="str">
        <f t="shared" si="0"/>
        <v/>
      </c>
    </row>
    <row r="12" spans="1:8" s="47" customFormat="1" ht="15" x14ac:dyDescent="0.25">
      <c r="A12" s="45">
        <v>8</v>
      </c>
      <c r="B12" s="53" t="str">
        <f>IF(ISBLANK('Supervis@r_Int7'!$G$5),"",'Supervis@r_Int7'!$G$5)</f>
        <v/>
      </c>
      <c r="C12" s="53" t="str">
        <f>IF(ISBLANK('Supervis@r_Int7'!$C$6),"",'Supervis@r_Int7'!$C$6)</f>
        <v/>
      </c>
      <c r="D12" s="53" t="str">
        <f>IF(ISBLANK('Supervis@r_Int7'!$C$7),"",'Supervis@r_Int7'!$C$7)</f>
        <v/>
      </c>
      <c r="E12" s="53" t="str">
        <f>IF(ISBLANK('Supervis@r_Int7'!$C$8),"",'Supervis@r_Int7'!$C$8)</f>
        <v/>
      </c>
      <c r="F12" s="46" t="str">
        <f>IF(ISBLANK('Supervis@r_Int7'!$G$5),"",'Supervis@r_Int7'!$J$17)</f>
        <v/>
      </c>
      <c r="G12" s="46" t="str">
        <f t="shared" si="1"/>
        <v/>
      </c>
      <c r="H12" s="46" t="str">
        <f t="shared" si="0"/>
        <v/>
      </c>
    </row>
    <row r="13" spans="1:8" s="47" customFormat="1" ht="15" x14ac:dyDescent="0.25">
      <c r="A13" s="45">
        <v>9</v>
      </c>
      <c r="B13" s="53" t="str">
        <f>IF(ISBLANK('Supervis@r_Int8'!$G$5),"",'Supervis@r_Int8'!$G$5)</f>
        <v/>
      </c>
      <c r="C13" s="53" t="str">
        <f>IF(ISBLANK('Supervis@r_Int8'!$C$6),"",'Supervis@r_Int8'!$C$6)</f>
        <v/>
      </c>
      <c r="D13" s="53" t="str">
        <f>IF(ISBLANK('Supervis@r_Int8'!$C$7),"",'Supervis@r_Int8'!$C$7)</f>
        <v/>
      </c>
      <c r="E13" s="53" t="str">
        <f>IF(ISBLANK('Supervis@r_Int8'!$C$8),"",'Supervis@r_Int8'!$C$8)</f>
        <v/>
      </c>
      <c r="F13" s="46" t="str">
        <f>IF(ISBLANK('Supervis@r_Int8'!$G$5),"",'Supervis@r_Int8'!$J$17)</f>
        <v/>
      </c>
      <c r="G13" s="46" t="str">
        <f t="shared" si="1"/>
        <v/>
      </c>
      <c r="H13" s="46" t="str">
        <f t="shared" si="0"/>
        <v/>
      </c>
    </row>
    <row r="14" spans="1:8" s="47" customFormat="1" ht="15" x14ac:dyDescent="0.25">
      <c r="A14" s="45">
        <v>10</v>
      </c>
      <c r="B14" s="53" t="str">
        <f>IF(ISBLANK('Supervis@r_Int9'!$G$5),"",'Supervis@r_Int9'!$G$5)</f>
        <v/>
      </c>
      <c r="C14" s="53" t="str">
        <f>IF(ISBLANK('Supervis@r_Int9'!$C$6),"",'Supervis@r_Int9'!$C$6)</f>
        <v/>
      </c>
      <c r="D14" s="53" t="str">
        <f>IF(ISBLANK('Supervis@r_Int9'!$C$7),"",'Supervis@r_Int9'!$C$7)</f>
        <v/>
      </c>
      <c r="E14" s="53" t="str">
        <f>IF(ISBLANK('Supervis@r_Int9'!$C$8),"",'Supervis@r_Int9'!$C$8)</f>
        <v/>
      </c>
      <c r="F14" s="46" t="str">
        <f>IF(ISBLANK('Supervis@r_Int9'!$G$5),"",'Supervis@r_Int9'!$J$17)</f>
        <v/>
      </c>
      <c r="G14" s="46" t="str">
        <f t="shared" si="1"/>
        <v/>
      </c>
      <c r="H14" s="46" t="str">
        <f t="shared" si="0"/>
        <v/>
      </c>
    </row>
    <row r="15" spans="1:8" s="47" customFormat="1" ht="15" x14ac:dyDescent="0.25">
      <c r="A15" s="45">
        <v>11</v>
      </c>
      <c r="B15" s="53" t="str">
        <f>IF(ISBLANK('Supervis@r_Int10'!$G$5),"",'Supervis@r_Int10'!$G$5)</f>
        <v/>
      </c>
      <c r="C15" s="53" t="str">
        <f>IF(ISBLANK('Supervis@r_Int10'!$C$6),"",'Supervis@r_Int10'!$C$6)</f>
        <v/>
      </c>
      <c r="D15" s="53" t="str">
        <f>IF(ISBLANK('Supervis@r_Int10'!$C$7),"",'Supervis@r_Int10'!$C$7)</f>
        <v/>
      </c>
      <c r="E15" s="53" t="str">
        <f>IF(ISBLANK('Supervis@r_Int10'!$C$8),"",'Supervis@r_Int10'!$C$8)</f>
        <v/>
      </c>
      <c r="F15" s="46" t="str">
        <f>IF(ISBLANK('Supervis@r_Int10'!$G$5),"",'Supervis@r_Int10'!$J$17)</f>
        <v/>
      </c>
      <c r="G15" s="46" t="str">
        <f t="shared" si="1"/>
        <v/>
      </c>
      <c r="H15" s="46" t="str">
        <f t="shared" si="0"/>
        <v/>
      </c>
    </row>
    <row r="16" spans="1:8" s="47" customFormat="1" ht="15" x14ac:dyDescent="0.25">
      <c r="A16" s="45">
        <v>12</v>
      </c>
      <c r="B16" s="53" t="str">
        <f>IF(ISBLANK('Supervis@r_Int11'!$G$5),"",'Supervis@r_Int11'!$G$5)</f>
        <v/>
      </c>
      <c r="C16" s="53" t="str">
        <f>IF(ISBLANK('Supervis@r_Int11'!$C$6),"",'Supervis@r_Int11'!$C$6)</f>
        <v/>
      </c>
      <c r="D16" s="53" t="str">
        <f>IF(ISBLANK('Supervis@r_Int11'!$C$7),"",'Supervis@r_Int11'!$C$7)</f>
        <v/>
      </c>
      <c r="E16" s="53" t="str">
        <f>IF(ISBLANK('Supervis@r_Int11'!$C$8),"",'Supervis@r_Int11'!$C$8)</f>
        <v/>
      </c>
      <c r="F16" s="46" t="str">
        <f>IF(ISBLANK('Supervis@r_Int11'!$G$5),"",'Supervis@r_Int11'!$J$17)</f>
        <v/>
      </c>
      <c r="G16" s="46" t="str">
        <f t="shared" si="1"/>
        <v/>
      </c>
      <c r="H16" s="46" t="str">
        <f t="shared" si="0"/>
        <v/>
      </c>
    </row>
    <row r="17" spans="1:8" s="47" customFormat="1" ht="15" x14ac:dyDescent="0.25">
      <c r="A17" s="45">
        <v>13</v>
      </c>
      <c r="B17" s="53" t="str">
        <f>IF(ISBLANK('Supervis@r_Int12'!$G$5),"",'Supervis@r_Int12'!$G$5)</f>
        <v/>
      </c>
      <c r="C17" s="53" t="str">
        <f>IF(ISBLANK('Supervis@r_Int12'!$C$6),"",'Supervis@r_Int12'!$C$6)</f>
        <v/>
      </c>
      <c r="D17" s="53" t="str">
        <f>IF(ISBLANK('Supervis@r_Int12'!$C$7),"",'Supervis@r_Int12'!$C$7)</f>
        <v/>
      </c>
      <c r="E17" s="53" t="str">
        <f>IF(ISBLANK('Supervis@r_Int12'!$C$8),"",'Supervis@r_Int12'!$C$8)</f>
        <v/>
      </c>
      <c r="F17" s="46" t="str">
        <f>IF(ISBLANK('Supervis@r_Int12'!$G$5),"",'Supervis@r_Int12'!$J$17)</f>
        <v/>
      </c>
      <c r="G17" s="46" t="str">
        <f t="shared" si="1"/>
        <v/>
      </c>
      <c r="H17" s="46" t="str">
        <f t="shared" si="0"/>
        <v/>
      </c>
    </row>
  </sheetData>
  <sheetProtection sheet="1" objects="1" scenarios="1" autoFilter="0"/>
  <autoFilter ref="A4:H17"/>
  <mergeCells count="4">
    <mergeCell ref="D1:H1"/>
    <mergeCell ref="D2:H2"/>
    <mergeCell ref="A1:B1"/>
    <mergeCell ref="A2:B2"/>
  </mergeCells>
  <conditionalFormatting sqref="G5:G17">
    <cfRule type="cellIs" dxfId="27" priority="6" operator="equal">
      <formula>"Elegir opción"</formula>
    </cfRule>
  </conditionalFormatting>
  <conditionalFormatting sqref="H5:H17">
    <cfRule type="cellIs" dxfId="26" priority="5" operator="equal">
      <formula>"NO RECIBE BOLSA"</formula>
    </cfRule>
  </conditionalFormatting>
  <hyperlinks>
    <hyperlink ref="A5" location="'Supervis@r'!A1" display="'Supervis@r'!A1"/>
    <hyperlink ref="A6" location="'Supervis@r_Int1'!A1" display="'Supervis@r_Int1'!A1"/>
    <hyperlink ref="A7" location="'Supervis@r_Int2'!A1" display="'Supervis@r_Int2'!A1"/>
    <hyperlink ref="A8" location="'Supervis@r_Int3'!A1" display="'Supervis@r_Int3'!A1"/>
    <hyperlink ref="A9" location="'Supervis@r_Int4'!A1" display="'Supervis@r_Int4'!A1"/>
    <hyperlink ref="A10" location="'Supervis@r_Int5'!A1" display="'Supervis@r_Int5'!A1"/>
    <hyperlink ref="A17" location="'Supervis@r_Int12'!A1" display="'Supervis@r_Int12'!A1"/>
    <hyperlink ref="A16" location="'Supervis@r_Int11'!A1" display="'Supervis@r_Int11'!A1"/>
    <hyperlink ref="A15" location="'Supervis@r_Int10'!A1" display="'Supervis@r_Int10'!A1"/>
    <hyperlink ref="A14" location="'Supervis@r_Int9'!A1" display="'Supervis@r_Int9'!A1"/>
    <hyperlink ref="A13" location="'Supervis@r_Int8'!A1" display="'Supervis@r_Int8'!A1"/>
    <hyperlink ref="A12" location="'Supervis@r_Int7'!A1" display="'Supervis@r_Int7'!A1"/>
    <hyperlink ref="A11" location="'Supervis@r_Int6'!A1" display="'Supervis@r_Int6'!A1"/>
  </hyperlinks>
  <pageMargins left="3.937007874015748E-2" right="3.937007874015748E-2" top="7.874015748031496E-2" bottom="7.874015748031496E-2" header="0.31496062992125984" footer="0.31496062992125984"/>
  <pageSetup paperSize="9" pageOrder="overThenDown"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
  <dimension ref="A1:L19"/>
  <sheetViews>
    <sheetView tabSelected="1" zoomScale="115" zoomScaleNormal="115" workbookViewId="0">
      <pane ySplit="12" topLeftCell="A13" activePane="bottomLeft" state="frozen"/>
      <selection activeCell="C6" sqref="C6:J6"/>
      <selection pane="bottomLeft" activeCell="C6" sqref="C6"/>
    </sheetView>
  </sheetViews>
  <sheetFormatPr baseColWidth="10" defaultColWidth="9" defaultRowHeight="12" x14ac:dyDescent="0.25"/>
  <cols>
    <col min="1" max="1" width="2.5703125" style="3" customWidth="1"/>
    <col min="2" max="2" width="37.42578125" style="3" customWidth="1"/>
    <col min="3" max="3" width="17" style="3" bestFit="1" customWidth="1"/>
    <col min="4" max="4" width="12.5703125" style="3" customWidth="1"/>
    <col min="5" max="5" width="15.5703125" style="3" customWidth="1"/>
    <col min="6" max="6" width="12.42578125" style="3" customWidth="1"/>
    <col min="7" max="7" width="11.85546875" style="3" customWidth="1"/>
    <col min="8" max="8" width="9" style="3"/>
    <col min="9" max="9" width="10.5703125" style="3" customWidth="1"/>
    <col min="10" max="10" width="10.140625" style="3" customWidth="1"/>
    <col min="11" max="16384" width="9" style="3"/>
  </cols>
  <sheetData>
    <row r="1" spans="1:12" ht="15" customHeight="1" x14ac:dyDescent="0.25">
      <c r="A1" s="72" t="s">
        <v>26</v>
      </c>
      <c r="B1" s="72"/>
      <c r="C1" s="62" t="s">
        <v>43</v>
      </c>
      <c r="D1" s="63"/>
      <c r="E1" s="63"/>
      <c r="F1" s="63"/>
      <c r="G1" s="63"/>
      <c r="H1" s="64"/>
      <c r="I1" s="60" t="s">
        <v>39</v>
      </c>
      <c r="J1" s="61"/>
    </row>
    <row r="2" spans="1:12" ht="15" customHeight="1" x14ac:dyDescent="0.25">
      <c r="A2" s="73" t="s">
        <v>22</v>
      </c>
      <c r="B2" s="73"/>
      <c r="C2" s="62" t="s">
        <v>44</v>
      </c>
      <c r="D2" s="63"/>
      <c r="E2" s="63"/>
      <c r="F2" s="63"/>
      <c r="G2" s="63"/>
      <c r="H2" s="64"/>
      <c r="I2" s="30">
        <v>2025</v>
      </c>
      <c r="J2" s="32">
        <f>$I$2+1</f>
        <v>2026</v>
      </c>
    </row>
    <row r="3" spans="1:12" ht="15.75" customHeight="1" x14ac:dyDescent="0.25">
      <c r="A3" s="73" t="s">
        <v>38</v>
      </c>
      <c r="B3" s="73"/>
      <c r="C3" s="68" t="s">
        <v>52</v>
      </c>
      <c r="D3" s="68"/>
      <c r="E3" s="68"/>
      <c r="F3" s="68"/>
      <c r="G3" s="68"/>
      <c r="H3" s="68"/>
      <c r="I3" s="68"/>
      <c r="J3" s="68"/>
    </row>
    <row r="4" spans="1:12" ht="15.75" customHeight="1" x14ac:dyDescent="0.25">
      <c r="A4" s="73" t="s">
        <v>36</v>
      </c>
      <c r="B4" s="73"/>
      <c r="C4" s="68" t="s">
        <v>52</v>
      </c>
      <c r="D4" s="68"/>
      <c r="E4" s="68"/>
      <c r="F4" s="68"/>
      <c r="G4" s="68"/>
      <c r="H4" s="68"/>
      <c r="I4" s="68"/>
      <c r="J4" s="68"/>
    </row>
    <row r="5" spans="1:12" ht="15.75" customHeight="1" x14ac:dyDescent="0.25">
      <c r="A5" s="73" t="s">
        <v>37</v>
      </c>
      <c r="B5" s="73"/>
      <c r="C5" s="68" t="s">
        <v>53</v>
      </c>
      <c r="D5" s="68"/>
      <c r="E5" s="68"/>
      <c r="F5" s="68"/>
      <c r="G5" s="68"/>
      <c r="H5" s="68"/>
      <c r="I5" s="68"/>
      <c r="J5" s="68"/>
    </row>
    <row r="6" spans="1:12" x14ac:dyDescent="0.25">
      <c r="B6" s="4"/>
    </row>
    <row r="7" spans="1:12" ht="16.5" customHeight="1" x14ac:dyDescent="0.25">
      <c r="A7" s="73" t="s">
        <v>11</v>
      </c>
      <c r="B7" s="73"/>
      <c r="C7" s="68" t="s">
        <v>45</v>
      </c>
      <c r="D7" s="68"/>
      <c r="E7" s="68"/>
      <c r="F7" s="18" t="s">
        <v>16</v>
      </c>
      <c r="G7" s="56" t="s">
        <v>51</v>
      </c>
      <c r="H7" s="18" t="s">
        <v>24</v>
      </c>
      <c r="I7" s="69" t="s">
        <v>0</v>
      </c>
      <c r="J7" s="69"/>
    </row>
    <row r="8" spans="1:12" ht="16.5" customHeight="1" x14ac:dyDescent="0.25">
      <c r="A8" s="70" t="s">
        <v>33</v>
      </c>
      <c r="B8" s="71"/>
      <c r="C8" s="65" t="str">
        <f>IF(C3="","",C3)</f>
        <v>JEFE</v>
      </c>
      <c r="D8" s="66"/>
      <c r="E8" s="66"/>
      <c r="F8" s="66"/>
      <c r="G8" s="66"/>
      <c r="H8" s="66"/>
      <c r="I8" s="66"/>
      <c r="J8" s="67"/>
    </row>
    <row r="9" spans="1:12" ht="16.5" customHeight="1" x14ac:dyDescent="0.25">
      <c r="A9" s="70" t="s">
        <v>34</v>
      </c>
      <c r="B9" s="71"/>
      <c r="C9" s="65" t="str">
        <f t="shared" ref="C9:C10" si="0">IF(C4="","",C4)</f>
        <v>JEFE</v>
      </c>
      <c r="D9" s="66"/>
      <c r="E9" s="66"/>
      <c r="F9" s="66"/>
      <c r="G9" s="66"/>
      <c r="H9" s="66"/>
      <c r="I9" s="66"/>
      <c r="J9" s="67"/>
    </row>
    <row r="10" spans="1:12" ht="16.5" customHeight="1" x14ac:dyDescent="0.25">
      <c r="A10" s="70" t="s">
        <v>35</v>
      </c>
      <c r="B10" s="71"/>
      <c r="C10" s="65" t="str">
        <f t="shared" si="0"/>
        <v>JOSE</v>
      </c>
      <c r="D10" s="66"/>
      <c r="E10" s="66"/>
      <c r="F10" s="66"/>
      <c r="G10" s="66"/>
      <c r="H10" s="66"/>
      <c r="I10" s="66"/>
      <c r="J10" s="67"/>
    </row>
    <row r="12" spans="1:12" s="5" customFormat="1" ht="33.75" x14ac:dyDescent="0.25">
      <c r="A12" s="18" t="s">
        <v>1</v>
      </c>
      <c r="B12" s="20" t="s">
        <v>4</v>
      </c>
      <c r="C12" s="20" t="s">
        <v>5</v>
      </c>
      <c r="D12" s="20" t="s">
        <v>6</v>
      </c>
      <c r="E12" s="20" t="s">
        <v>12</v>
      </c>
      <c r="F12" s="20" t="s">
        <v>7</v>
      </c>
      <c r="G12" s="20" t="s">
        <v>8</v>
      </c>
      <c r="H12" s="18" t="s">
        <v>3</v>
      </c>
      <c r="I12" s="10" t="s">
        <v>9</v>
      </c>
      <c r="J12" s="10" t="s">
        <v>28</v>
      </c>
    </row>
    <row r="13" spans="1:12" s="11" customFormat="1" ht="33.75" x14ac:dyDescent="0.25">
      <c r="A13" s="51">
        <f>IF(B13="","",COUNTA($B$13:B13))</f>
        <v>1</v>
      </c>
      <c r="B13" s="6" t="s">
        <v>27</v>
      </c>
      <c r="C13" s="7" t="s">
        <v>13</v>
      </c>
      <c r="D13" s="8">
        <v>0.2</v>
      </c>
      <c r="E13" s="7" t="s">
        <v>14</v>
      </c>
      <c r="F13" s="9">
        <v>15</v>
      </c>
      <c r="G13" s="9" t="s">
        <v>15</v>
      </c>
      <c r="H13" s="54">
        <v>15</v>
      </c>
      <c r="I13" s="33" t="str">
        <f t="shared" ref="I13:I17" si="1">IFERROR(IF(OR(A13="",F13=""),"",IF(AND(G13&lt;&gt;"Alza",G13&lt;&gt;"Baja"),"",IF(G13="Alza",IF(AND(H13&lt;&gt;"",H13&gt;=F13),"SÍ","NO"),IF(G13="Baja",IF(AND(H13&lt;&gt;"",H13&lt;=F13),"SÍ","NO"))))),"")</f>
        <v>SÍ</v>
      </c>
      <c r="J13" s="34">
        <f>IF(B13="","",IFERROR(IF(I13="SÍ",D13*100,0),""))</f>
        <v>20</v>
      </c>
      <c r="K13" s="5"/>
      <c r="L13" s="5"/>
    </row>
    <row r="14" spans="1:12" s="11" customFormat="1" ht="33.75" x14ac:dyDescent="0.25">
      <c r="A14" s="51">
        <f>IF(B14="","",COUNTA($B$13:B14))</f>
        <v>2</v>
      </c>
      <c r="B14" s="6" t="s">
        <v>18</v>
      </c>
      <c r="C14" s="7" t="s">
        <v>13</v>
      </c>
      <c r="D14" s="8">
        <v>0.2</v>
      </c>
      <c r="E14" s="7" t="s">
        <v>14</v>
      </c>
      <c r="F14" s="7">
        <v>1</v>
      </c>
      <c r="G14" s="9" t="s">
        <v>15</v>
      </c>
      <c r="H14" s="54">
        <v>1</v>
      </c>
      <c r="I14" s="33" t="str">
        <f t="shared" si="1"/>
        <v>SÍ</v>
      </c>
      <c r="J14" s="34">
        <f t="shared" ref="J14:J18" si="2">IF(B14="","",IFERROR(IF(I14="SÍ",D14*100,0),""))</f>
        <v>20</v>
      </c>
    </row>
    <row r="15" spans="1:12" s="11" customFormat="1" ht="56.25" x14ac:dyDescent="0.25">
      <c r="A15" s="51">
        <f>IF(B15="","",COUNTA($B$13:B15))</f>
        <v>3</v>
      </c>
      <c r="B15" s="6" t="s">
        <v>19</v>
      </c>
      <c r="C15" s="7" t="s">
        <v>13</v>
      </c>
      <c r="D15" s="8">
        <v>0.2</v>
      </c>
      <c r="E15" s="7" t="s">
        <v>14</v>
      </c>
      <c r="F15" s="7">
        <v>2</v>
      </c>
      <c r="G15" s="9" t="s">
        <v>15</v>
      </c>
      <c r="H15" s="54">
        <v>2</v>
      </c>
      <c r="I15" s="33" t="str">
        <f t="shared" si="1"/>
        <v>SÍ</v>
      </c>
      <c r="J15" s="34">
        <f t="shared" si="2"/>
        <v>20</v>
      </c>
    </row>
    <row r="16" spans="1:12" s="11" customFormat="1" ht="33.75" x14ac:dyDescent="0.25">
      <c r="A16" s="51">
        <f>IF(B16="","",COUNTA($B$13:B16))</f>
        <v>4</v>
      </c>
      <c r="B16" s="6" t="s">
        <v>20</v>
      </c>
      <c r="C16" s="7" t="s">
        <v>13</v>
      </c>
      <c r="D16" s="8">
        <v>0.12</v>
      </c>
      <c r="E16" s="7" t="s">
        <v>14</v>
      </c>
      <c r="F16" s="7">
        <v>1</v>
      </c>
      <c r="G16" s="9" t="s">
        <v>15</v>
      </c>
      <c r="H16" s="54">
        <v>1</v>
      </c>
      <c r="I16" s="33" t="str">
        <f t="shared" si="1"/>
        <v>SÍ</v>
      </c>
      <c r="J16" s="34">
        <f t="shared" si="2"/>
        <v>12</v>
      </c>
    </row>
    <row r="17" spans="1:10" s="11" customFormat="1" ht="45" x14ac:dyDescent="0.25">
      <c r="A17" s="51">
        <f>IF(B17="","",COUNTA($B$13:B17))</f>
        <v>5</v>
      </c>
      <c r="B17" s="6" t="s">
        <v>21</v>
      </c>
      <c r="C17" s="7" t="s">
        <v>13</v>
      </c>
      <c r="D17" s="8">
        <v>0.12</v>
      </c>
      <c r="E17" s="7" t="s">
        <v>14</v>
      </c>
      <c r="F17" s="7">
        <v>1</v>
      </c>
      <c r="G17" s="9" t="s">
        <v>15</v>
      </c>
      <c r="H17" s="54">
        <v>1</v>
      </c>
      <c r="I17" s="33" t="str">
        <f t="shared" si="1"/>
        <v>SÍ</v>
      </c>
      <c r="J17" s="34">
        <f t="shared" si="2"/>
        <v>12</v>
      </c>
    </row>
    <row r="18" spans="1:10" s="11" customFormat="1" ht="22.5" x14ac:dyDescent="0.25">
      <c r="A18" s="52">
        <f>IF(B18="","",COUNTA($B$13:B18))</f>
        <v>6</v>
      </c>
      <c r="B18" s="1" t="s">
        <v>50</v>
      </c>
      <c r="C18" s="21" t="s">
        <v>13</v>
      </c>
      <c r="D18" s="22">
        <f>IF(B18="","",16%)</f>
        <v>0.16</v>
      </c>
      <c r="E18" s="21" t="s">
        <v>46</v>
      </c>
      <c r="F18" s="55">
        <v>80</v>
      </c>
      <c r="G18" s="23" t="s">
        <v>15</v>
      </c>
      <c r="H18" s="55">
        <v>80</v>
      </c>
      <c r="I18" s="33" t="str">
        <f>IFERROR(IF(OR(A18="",F18=""),"",IF(AND(G18&lt;&gt;"Alza",G18&lt;&gt;"Baja"),"",IF(G18="Alza",IF(AND(H18&lt;&gt;"",H18&gt;=F18),"SÍ","NO"),IF(G18="Baja",IF(AND(H18&lt;&gt;"",H18&lt;=F18),"SÍ","NO"))))),"")</f>
        <v>SÍ</v>
      </c>
      <c r="J18" s="33">
        <f t="shared" si="2"/>
        <v>16</v>
      </c>
    </row>
    <row r="19" spans="1:10" ht="29.25" customHeight="1" x14ac:dyDescent="0.25">
      <c r="A19" s="24"/>
      <c r="B19" s="25"/>
      <c r="C19" s="26" t="s">
        <v>10</v>
      </c>
      <c r="D19" s="35">
        <f>SUM($D$13:$D$18)</f>
        <v>1</v>
      </c>
      <c r="E19" s="25"/>
      <c r="F19" s="25"/>
      <c r="G19" s="25"/>
      <c r="H19" s="25"/>
      <c r="I19" s="26" t="s">
        <v>2</v>
      </c>
      <c r="J19" s="36">
        <f>IF(D19&lt;&gt;1,0,SUM($J$13:$J$18))</f>
        <v>100</v>
      </c>
    </row>
  </sheetData>
  <sheetProtection algorithmName="SHA-512" hashValue="WuvYXlKrFzHcd6IFV8NJsjEc70tQRwttnbV/WJtgQyQQav8SBQQ8VenGDLbEwkPGjmcxWHGIsm3g+2nj70/aLw==" saltValue="H470byktIRDB4uJC5tV/Tw==" spinCount="100000" sheet="1" objects="1" scenarios="1"/>
  <mergeCells count="20">
    <mergeCell ref="A8:B8"/>
    <mergeCell ref="A9:B9"/>
    <mergeCell ref="A10:B10"/>
    <mergeCell ref="A1:B1"/>
    <mergeCell ref="A2:B2"/>
    <mergeCell ref="A3:B3"/>
    <mergeCell ref="A7:B7"/>
    <mergeCell ref="A4:B4"/>
    <mergeCell ref="A5:B5"/>
    <mergeCell ref="I1:J1"/>
    <mergeCell ref="C1:H1"/>
    <mergeCell ref="C2:H2"/>
    <mergeCell ref="C9:J9"/>
    <mergeCell ref="C10:J10"/>
    <mergeCell ref="C7:E7"/>
    <mergeCell ref="C3:J3"/>
    <mergeCell ref="I7:J7"/>
    <mergeCell ref="C8:J8"/>
    <mergeCell ref="C4:J4"/>
    <mergeCell ref="C5:J5"/>
  </mergeCells>
  <phoneticPr fontId="4" type="noConversion"/>
  <conditionalFormatting sqref="D19">
    <cfRule type="cellIs" dxfId="25" priority="4" operator="notEqual">
      <formula>1</formula>
    </cfRule>
  </conditionalFormatting>
  <conditionalFormatting sqref="J19">
    <cfRule type="expression" dxfId="24" priority="2">
      <formula>$D$18&lt;&gt;0.16</formula>
    </cfRule>
  </conditionalFormatting>
  <dataValidations count="6">
    <dataValidation type="list" allowBlank="1" showInputMessage="1" showErrorMessage="1" sqref="K13">
      <formula1>"SÍ,NO"</formula1>
    </dataValidation>
    <dataValidation type="list" allowBlank="1" showInputMessage="1" showErrorMessage="1" sqref="C13:C18">
      <formula1>"Individual,Colectivo"</formula1>
    </dataValidation>
    <dataValidation type="list" allowBlank="1" showInputMessage="1" showErrorMessage="1" sqref="G13:G18">
      <formula1>"Alza,Baja"</formula1>
    </dataValidation>
    <dataValidation type="list" allowBlank="1" showInputMessage="1" showErrorMessage="1" sqref="E13:E18">
      <formula1>"Número,Porcentaje"</formula1>
    </dataValidation>
    <dataValidation type="whole" allowBlank="1" showInputMessage="1" showErrorMessage="1" errorTitle="VALOR NO NUMÉRICO" error="Debes introducir un valor numérico." sqref="H13:H18 F18">
      <formula1>0</formula1>
      <formula2>1000000</formula2>
    </dataValidation>
    <dataValidation type="list" allowBlank="1" showInputMessage="1" showErrorMessage="1" sqref="I2">
      <formula1>"2025,2026,2027,2028,2029,2030,2031,2032,2033,2034,2035,2035,2036,2037,2038,2039,2040,2041,2042,2043,2044,2045,2046,2047,2028,2049,2050"</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A1:L18"/>
  <sheetViews>
    <sheetView zoomScale="120" zoomScaleNormal="120" workbookViewId="0">
      <pane ySplit="8" topLeftCell="A9" activePane="bottomLeft" state="frozen"/>
      <selection activeCell="C6" sqref="C6:J6"/>
      <selection pane="bottomLeft" activeCell="C9" sqref="C9"/>
    </sheetView>
  </sheetViews>
  <sheetFormatPr baseColWidth="10" defaultColWidth="9" defaultRowHeight="12" x14ac:dyDescent="0.25"/>
  <cols>
    <col min="1" max="1" width="2.5703125" style="3" customWidth="1"/>
    <col min="2" max="2" width="39.5703125" style="3" customWidth="1"/>
    <col min="3" max="3" width="17" style="3" bestFit="1" customWidth="1"/>
    <col min="4" max="4" width="12.5703125" style="3" customWidth="1"/>
    <col min="5" max="5" width="15.5703125" style="3" customWidth="1"/>
    <col min="6" max="6" width="12.42578125" style="3" customWidth="1"/>
    <col min="7" max="7" width="11.85546875" style="3" customWidth="1"/>
    <col min="8" max="8" width="9" style="3"/>
    <col min="9" max="9" width="10.5703125" style="3" customWidth="1"/>
    <col min="10" max="10" width="10.140625" style="3" customWidth="1"/>
    <col min="11" max="16384" width="9" style="3"/>
  </cols>
  <sheetData>
    <row r="1" spans="1:12" ht="15" customHeight="1" x14ac:dyDescent="0.25">
      <c r="A1" s="75" t="s">
        <v>26</v>
      </c>
      <c r="B1" s="75"/>
      <c r="C1" s="77" t="str">
        <f>IF(ISBLANK('Supervis@r'!$C$1),"",'Supervis@r'!$C$1)</f>
        <v>SERVICIOS OPERATIVOS</v>
      </c>
      <c r="D1" s="78"/>
      <c r="E1" s="78"/>
      <c r="F1" s="78"/>
      <c r="G1" s="78"/>
      <c r="H1" s="79"/>
      <c r="I1" s="60" t="s">
        <v>39</v>
      </c>
      <c r="J1" s="61"/>
    </row>
    <row r="2" spans="1:12" ht="15" customHeight="1" x14ac:dyDescent="0.25">
      <c r="A2" s="76" t="s">
        <v>22</v>
      </c>
      <c r="B2" s="76"/>
      <c r="C2" s="77" t="str">
        <f>IF(ISBLANK('Supervis@r'!$C$2),"",'Supervis@r'!$C$2)</f>
        <v>ENCARGADOS Y CAPATACES</v>
      </c>
      <c r="D2" s="78"/>
      <c r="E2" s="78"/>
      <c r="F2" s="78"/>
      <c r="G2" s="78"/>
      <c r="H2" s="79"/>
      <c r="I2" s="32">
        <f>'Supervis@r'!$I$2</f>
        <v>2025</v>
      </c>
      <c r="J2" s="32">
        <f>'Supervis@r'!$J$2</f>
        <v>2026</v>
      </c>
    </row>
    <row r="3" spans="1:12" ht="15.75" customHeight="1" x14ac:dyDescent="0.25">
      <c r="A3" s="76" t="s">
        <v>0</v>
      </c>
      <c r="B3" s="76"/>
      <c r="C3" s="77" t="str">
        <f>IF(ISBLANK('Supervis@r'!$C$3),"",CONCATENATE('Supervis@r'!$C$3," ",'Supervis@r'!$C$4,",",'Supervis@r'!$C$5))</f>
        <v>JEFE JEFE,JOSE</v>
      </c>
      <c r="D3" s="78"/>
      <c r="E3" s="78"/>
      <c r="F3" s="78"/>
      <c r="G3" s="78"/>
      <c r="H3" s="78"/>
      <c r="I3" s="78"/>
      <c r="J3" s="79"/>
    </row>
    <row r="4" spans="1:12" x14ac:dyDescent="0.25">
      <c r="B4" s="4"/>
    </row>
    <row r="5" spans="1:12" ht="16.5" customHeight="1" x14ac:dyDescent="0.25">
      <c r="A5" s="73" t="s">
        <v>11</v>
      </c>
      <c r="B5" s="73"/>
      <c r="C5" s="68" t="s">
        <v>54</v>
      </c>
      <c r="D5" s="68"/>
      <c r="E5" s="68"/>
      <c r="F5" s="18" t="s">
        <v>16</v>
      </c>
      <c r="G5" s="19" t="s">
        <v>55</v>
      </c>
      <c r="H5" s="18" t="s">
        <v>24</v>
      </c>
      <c r="I5" s="80" t="s">
        <v>23</v>
      </c>
      <c r="J5" s="80"/>
    </row>
    <row r="6" spans="1:12" ht="15.75" customHeight="1" x14ac:dyDescent="0.25">
      <c r="A6" s="73" t="s">
        <v>33</v>
      </c>
      <c r="B6" s="73"/>
      <c r="C6" s="68" t="s">
        <v>56</v>
      </c>
      <c r="D6" s="68"/>
      <c r="E6" s="68"/>
      <c r="F6" s="68"/>
      <c r="G6" s="68"/>
      <c r="H6" s="68"/>
      <c r="I6" s="68"/>
      <c r="J6" s="68"/>
    </row>
    <row r="7" spans="1:12" ht="15.75" customHeight="1" x14ac:dyDescent="0.25">
      <c r="A7" s="73" t="s">
        <v>34</v>
      </c>
      <c r="B7" s="73"/>
      <c r="C7" s="74" t="s">
        <v>56</v>
      </c>
      <c r="D7" s="74"/>
      <c r="E7" s="74"/>
      <c r="F7" s="74"/>
      <c r="G7" s="74"/>
      <c r="H7" s="74"/>
      <c r="I7" s="74"/>
      <c r="J7" s="74"/>
    </row>
    <row r="8" spans="1:12" ht="15.75" customHeight="1" x14ac:dyDescent="0.25">
      <c r="A8" s="73" t="s">
        <v>35</v>
      </c>
      <c r="B8" s="73"/>
      <c r="C8" s="74" t="s">
        <v>48</v>
      </c>
      <c r="D8" s="74"/>
      <c r="E8" s="74"/>
      <c r="F8" s="74"/>
      <c r="G8" s="74"/>
      <c r="H8" s="74"/>
      <c r="I8" s="74"/>
      <c r="J8" s="74"/>
    </row>
    <row r="9" spans="1:12" x14ac:dyDescent="0.25">
      <c r="C9" s="37"/>
      <c r="D9" s="37"/>
      <c r="E9" s="37"/>
      <c r="F9" s="37"/>
      <c r="G9" s="37"/>
      <c r="H9" s="37"/>
      <c r="I9" s="37"/>
      <c r="J9" s="37"/>
    </row>
    <row r="10" spans="1:12" s="5" customFormat="1" ht="33.75" x14ac:dyDescent="0.25">
      <c r="A10" s="18" t="s">
        <v>1</v>
      </c>
      <c r="B10" s="20" t="s">
        <v>4</v>
      </c>
      <c r="C10" s="20" t="s">
        <v>5</v>
      </c>
      <c r="D10" s="20" t="s">
        <v>6</v>
      </c>
      <c r="E10" s="20" t="s">
        <v>12</v>
      </c>
      <c r="F10" s="20" t="s">
        <v>7</v>
      </c>
      <c r="G10" s="20" t="s">
        <v>8</v>
      </c>
      <c r="H10" s="18" t="s">
        <v>3</v>
      </c>
      <c r="I10" s="10" t="s">
        <v>9</v>
      </c>
      <c r="J10" s="10" t="s">
        <v>28</v>
      </c>
    </row>
    <row r="11" spans="1:12" s="11" customFormat="1" ht="33.75" x14ac:dyDescent="0.25">
      <c r="A11" s="51">
        <f>IF(B11="","",COUNTA($B$11:B11))</f>
        <v>1</v>
      </c>
      <c r="B11" s="6" t="s">
        <v>27</v>
      </c>
      <c r="C11" s="7" t="s">
        <v>13</v>
      </c>
      <c r="D11" s="8">
        <v>0.2</v>
      </c>
      <c r="E11" s="7" t="s">
        <v>14</v>
      </c>
      <c r="F11" s="9">
        <v>15</v>
      </c>
      <c r="G11" s="9" t="s">
        <v>15</v>
      </c>
      <c r="H11" s="54">
        <v>65</v>
      </c>
      <c r="I11" s="33" t="str">
        <f t="shared" ref="I11:I15" si="0">IFERROR(IF(OR(A11="",F11=""),"",IF(AND(G11&lt;&gt;"Alza",G11&lt;&gt;"Baja"),"",IF(G11="Alza",IF(AND(H11&lt;&gt;"",H11&gt;=F11),"SÍ","NO"),IF(G11="Baja",IF(AND(H11&lt;&gt;"",H11&lt;=F11),"SÍ","NO"))))),"")</f>
        <v>SÍ</v>
      </c>
      <c r="J11" s="34">
        <f>IF(B11="","",IFERROR(IF(I11="SÍ",D11*100,0),""))</f>
        <v>20</v>
      </c>
      <c r="K11" s="5"/>
      <c r="L11" s="5"/>
    </row>
    <row r="12" spans="1:12" s="11" customFormat="1" ht="33.75" x14ac:dyDescent="0.25">
      <c r="A12" s="51">
        <f>IF(B12="","",COUNTA($B$11:B12))</f>
        <v>2</v>
      </c>
      <c r="B12" s="6" t="s">
        <v>18</v>
      </c>
      <c r="C12" s="7" t="s">
        <v>13</v>
      </c>
      <c r="D12" s="8">
        <v>0.2</v>
      </c>
      <c r="E12" s="7" t="s">
        <v>14</v>
      </c>
      <c r="F12" s="7">
        <v>1</v>
      </c>
      <c r="G12" s="9" t="s">
        <v>15</v>
      </c>
      <c r="H12" s="54">
        <v>1</v>
      </c>
      <c r="I12" s="33" t="str">
        <f t="shared" si="0"/>
        <v>SÍ</v>
      </c>
      <c r="J12" s="34">
        <f t="shared" ref="J12:J16" si="1">IF(B12="","",IFERROR(IF(I12="SÍ",D12*100,0),""))</f>
        <v>20</v>
      </c>
    </row>
    <row r="13" spans="1:12" s="11" customFormat="1" ht="56.25" x14ac:dyDescent="0.25">
      <c r="A13" s="51">
        <f>IF(B13="","",COUNTA($B$11:B13))</f>
        <v>3</v>
      </c>
      <c r="B13" s="6" t="s">
        <v>19</v>
      </c>
      <c r="C13" s="7" t="s">
        <v>13</v>
      </c>
      <c r="D13" s="8">
        <v>0.2</v>
      </c>
      <c r="E13" s="7" t="s">
        <v>14</v>
      </c>
      <c r="F13" s="7">
        <v>2</v>
      </c>
      <c r="G13" s="9" t="s">
        <v>15</v>
      </c>
      <c r="H13" s="54">
        <v>2</v>
      </c>
      <c r="I13" s="33" t="str">
        <f t="shared" si="0"/>
        <v>SÍ</v>
      </c>
      <c r="J13" s="34">
        <f t="shared" si="1"/>
        <v>20</v>
      </c>
    </row>
    <row r="14" spans="1:12" s="11" customFormat="1" ht="33.75" x14ac:dyDescent="0.25">
      <c r="A14" s="51">
        <f>IF(B14="","",COUNTA($B$11:B14))</f>
        <v>4</v>
      </c>
      <c r="B14" s="6" t="s">
        <v>20</v>
      </c>
      <c r="C14" s="7" t="s">
        <v>13</v>
      </c>
      <c r="D14" s="8">
        <v>0.12</v>
      </c>
      <c r="E14" s="7" t="s">
        <v>14</v>
      </c>
      <c r="F14" s="7">
        <v>1</v>
      </c>
      <c r="G14" s="9" t="s">
        <v>15</v>
      </c>
      <c r="H14" s="54">
        <v>1</v>
      </c>
      <c r="I14" s="33" t="str">
        <f t="shared" si="0"/>
        <v>SÍ</v>
      </c>
      <c r="J14" s="34">
        <f t="shared" si="1"/>
        <v>12</v>
      </c>
    </row>
    <row r="15" spans="1:12" s="11" customFormat="1" ht="45" x14ac:dyDescent="0.25">
      <c r="A15" s="51">
        <f>IF(B15="","",COUNTA($B$11:B15))</f>
        <v>5</v>
      </c>
      <c r="B15" s="6" t="s">
        <v>21</v>
      </c>
      <c r="C15" s="7" t="s">
        <v>13</v>
      </c>
      <c r="D15" s="8">
        <v>0.12</v>
      </c>
      <c r="E15" s="7" t="s">
        <v>14</v>
      </c>
      <c r="F15" s="7">
        <v>1</v>
      </c>
      <c r="G15" s="9" t="s">
        <v>15</v>
      </c>
      <c r="H15" s="54">
        <v>1</v>
      </c>
      <c r="I15" s="33" t="str">
        <f t="shared" si="0"/>
        <v>SÍ</v>
      </c>
      <c r="J15" s="34">
        <f t="shared" si="1"/>
        <v>12</v>
      </c>
    </row>
    <row r="16" spans="1:12" s="11" customFormat="1" ht="22.5" x14ac:dyDescent="0.25">
      <c r="A16" s="52">
        <f>IF(B16="","",COUNTA($B$11:B16))</f>
        <v>6</v>
      </c>
      <c r="B16" s="1" t="s">
        <v>49</v>
      </c>
      <c r="C16" s="21" t="s">
        <v>13</v>
      </c>
      <c r="D16" s="49">
        <f>IF(B16="","",16%)</f>
        <v>0.16</v>
      </c>
      <c r="E16" s="21" t="s">
        <v>46</v>
      </c>
      <c r="F16" s="55">
        <v>80</v>
      </c>
      <c r="G16" s="23" t="s">
        <v>15</v>
      </c>
      <c r="H16" s="55">
        <v>80</v>
      </c>
      <c r="I16" s="33" t="str">
        <f>IFERROR(IF(OR(A16="",F16=""),"",IF(AND(G16&lt;&gt;"Alza",G16&lt;&gt;"Baja"),"",IF(G16="Alza",IF(AND(H16&lt;&gt;"",H16&gt;=F16),"SÍ","NO"),IF(G16="Baja",IF(AND(H16&lt;&gt;"",H16&lt;=F16),"SÍ","NO"))))),"")</f>
        <v>SÍ</v>
      </c>
      <c r="J16" s="34">
        <f t="shared" si="1"/>
        <v>16</v>
      </c>
    </row>
    <row r="17" spans="1:10" ht="29.25" customHeight="1" x14ac:dyDescent="0.25">
      <c r="A17" s="24"/>
      <c r="B17" s="28"/>
      <c r="C17" s="27" t="s">
        <v>10</v>
      </c>
      <c r="D17" s="50">
        <f>SUM($D$11:$D$16)</f>
        <v>1</v>
      </c>
      <c r="E17" s="24"/>
      <c r="F17" s="25"/>
      <c r="G17" s="25"/>
      <c r="H17" s="28"/>
      <c r="I17" s="38" t="s">
        <v>2</v>
      </c>
      <c r="J17" s="36">
        <f>IF(D17&lt;&gt;1,0,SUM($J$11:$J$16))</f>
        <v>100</v>
      </c>
    </row>
    <row r="18" spans="1:10" x14ac:dyDescent="0.25">
      <c r="D18" s="37"/>
      <c r="J18" s="37"/>
    </row>
  </sheetData>
  <sheetProtection algorithmName="SHA-512" hashValue="6wTE+GKqUTnrtp3QNOH0pZ1GrVUKhJoJgyrDgJ10YRIfi2D1gpXJsj6j3exGRB5VwYK/UGOx9/JU+JTmMa5LyQ==" saltValue="xL5a/ba3SMiJiZT3t4x+3w==" spinCount="100000" sheet="1" objects="1" scenarios="1"/>
  <mergeCells count="16">
    <mergeCell ref="A8:B8"/>
    <mergeCell ref="C8:J8"/>
    <mergeCell ref="A1:B1"/>
    <mergeCell ref="A2:B2"/>
    <mergeCell ref="A3:B3"/>
    <mergeCell ref="C3:J3"/>
    <mergeCell ref="A6:B6"/>
    <mergeCell ref="A5:B5"/>
    <mergeCell ref="C5:E5"/>
    <mergeCell ref="I5:J5"/>
    <mergeCell ref="C6:J6"/>
    <mergeCell ref="A7:B7"/>
    <mergeCell ref="C7:J7"/>
    <mergeCell ref="I1:J1"/>
    <mergeCell ref="C1:H1"/>
    <mergeCell ref="C2:H2"/>
  </mergeCells>
  <conditionalFormatting sqref="D17">
    <cfRule type="cellIs" dxfId="23" priority="3" operator="notEqual">
      <formula>1</formula>
    </cfRule>
  </conditionalFormatting>
  <conditionalFormatting sqref="J17">
    <cfRule type="expression" dxfId="22" priority="1">
      <formula>$D$16&lt;&gt;0.16</formula>
    </cfRule>
  </conditionalFormatting>
  <dataValidations count="5">
    <dataValidation type="list" allowBlank="1" showInputMessage="1" showErrorMessage="1" sqref="E11:E16">
      <formula1>"Número,Porcentaje"</formula1>
    </dataValidation>
    <dataValidation type="list" allowBlank="1" showInputMessage="1" showErrorMessage="1" sqref="G11:G16">
      <formula1>"Alza,Baja"</formula1>
    </dataValidation>
    <dataValidation type="list" allowBlank="1" showInputMessage="1" showErrorMessage="1" sqref="K11">
      <formula1>"SÍ,NO"</formula1>
    </dataValidation>
    <dataValidation type="list" allowBlank="1" showInputMessage="1" showErrorMessage="1" sqref="C11:C16">
      <formula1>"Individual,Colectivo"</formula1>
    </dataValidation>
    <dataValidation type="whole" allowBlank="1" showInputMessage="1" showErrorMessage="1" errorTitle="VALOR NO NUMÉRICO" error="Debes introducir un valor numérico." sqref="H11:H16 F16">
      <formula1>0</formula1>
      <formula2>1000000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A1:L18"/>
  <sheetViews>
    <sheetView zoomScale="110" zoomScaleNormal="110" workbookViewId="0">
      <pane ySplit="8" topLeftCell="A9" activePane="bottomLeft" state="frozen"/>
      <selection activeCell="C6" sqref="C6:J6"/>
      <selection pane="bottomLeft" activeCell="C9" sqref="C9"/>
    </sheetView>
  </sheetViews>
  <sheetFormatPr baseColWidth="10" defaultColWidth="9" defaultRowHeight="12" x14ac:dyDescent="0.25"/>
  <cols>
    <col min="1" max="1" width="2.5703125" style="3" customWidth="1"/>
    <col min="2" max="2" width="39.5703125" style="3" customWidth="1"/>
    <col min="3" max="3" width="17" style="3" bestFit="1" customWidth="1"/>
    <col min="4" max="4" width="12.5703125" style="3" customWidth="1"/>
    <col min="5" max="5" width="15.5703125" style="3" customWidth="1"/>
    <col min="6" max="6" width="12.42578125" style="3" customWidth="1"/>
    <col min="7" max="7" width="11.85546875" style="3" customWidth="1"/>
    <col min="8" max="8" width="9" style="3"/>
    <col min="9" max="9" width="10.5703125" style="3" customWidth="1"/>
    <col min="10" max="10" width="10.140625" style="3" customWidth="1"/>
    <col min="11" max="16384" width="9" style="3"/>
  </cols>
  <sheetData>
    <row r="1" spans="1:12" ht="15" customHeight="1" x14ac:dyDescent="0.25">
      <c r="A1" s="75" t="s">
        <v>26</v>
      </c>
      <c r="B1" s="75"/>
      <c r="C1" s="77" t="str">
        <f>IF(ISBLANK('Supervis@r'!$C$1),"",'Supervis@r'!$C$1)</f>
        <v>SERVICIOS OPERATIVOS</v>
      </c>
      <c r="D1" s="78"/>
      <c r="E1" s="78"/>
      <c r="F1" s="78"/>
      <c r="G1" s="78"/>
      <c r="H1" s="79"/>
      <c r="I1" s="60" t="s">
        <v>39</v>
      </c>
      <c r="J1" s="61"/>
    </row>
    <row r="2" spans="1:12" ht="15" customHeight="1" x14ac:dyDescent="0.25">
      <c r="A2" s="76" t="s">
        <v>22</v>
      </c>
      <c r="B2" s="76"/>
      <c r="C2" s="77" t="str">
        <f>IF(ISBLANK('Supervis@r'!$C$2),"",'Supervis@r'!$C$2)</f>
        <v>ENCARGADOS Y CAPATACES</v>
      </c>
      <c r="D2" s="78"/>
      <c r="E2" s="78"/>
      <c r="F2" s="78"/>
      <c r="G2" s="78"/>
      <c r="H2" s="79"/>
      <c r="I2" s="32">
        <f>'Supervis@r'!$I$2</f>
        <v>2025</v>
      </c>
      <c r="J2" s="32">
        <f>'Supervis@r'!$J$2</f>
        <v>2026</v>
      </c>
    </row>
    <row r="3" spans="1:12" ht="15.75" customHeight="1" x14ac:dyDescent="0.25">
      <c r="A3" s="76" t="s">
        <v>0</v>
      </c>
      <c r="B3" s="76"/>
      <c r="C3" s="77" t="str">
        <f>IF(ISBLANK('Supervis@r'!$C$3),"",CONCATENATE('Supervis@r'!$C$3," ",'Supervis@r'!$C$4,",",'Supervis@r'!$C$5))</f>
        <v>JEFE JEFE,JOSE</v>
      </c>
      <c r="D3" s="78"/>
      <c r="E3" s="78"/>
      <c r="F3" s="78"/>
      <c r="G3" s="78"/>
      <c r="H3" s="78"/>
      <c r="I3" s="78"/>
      <c r="J3" s="79"/>
    </row>
    <row r="4" spans="1:12" x14ac:dyDescent="0.25">
      <c r="B4" s="4"/>
    </row>
    <row r="5" spans="1:12" ht="16.5" customHeight="1" x14ac:dyDescent="0.25">
      <c r="A5" s="73" t="s">
        <v>11</v>
      </c>
      <c r="B5" s="73"/>
      <c r="C5" s="68" t="s">
        <v>47</v>
      </c>
      <c r="D5" s="68"/>
      <c r="E5" s="68"/>
      <c r="F5" s="18" t="s">
        <v>16</v>
      </c>
      <c r="G5" s="19" t="s">
        <v>57</v>
      </c>
      <c r="H5" s="18" t="s">
        <v>24</v>
      </c>
      <c r="I5" s="80" t="s">
        <v>23</v>
      </c>
      <c r="J5" s="80"/>
    </row>
    <row r="6" spans="1:12" ht="15.75" customHeight="1" x14ac:dyDescent="0.25">
      <c r="A6" s="73" t="s">
        <v>33</v>
      </c>
      <c r="B6" s="73"/>
      <c r="C6" s="68" t="s">
        <v>58</v>
      </c>
      <c r="D6" s="68"/>
      <c r="E6" s="68"/>
      <c r="F6" s="68"/>
      <c r="G6" s="68"/>
      <c r="H6" s="68"/>
      <c r="I6" s="68"/>
      <c r="J6" s="68"/>
    </row>
    <row r="7" spans="1:12" ht="15.75" customHeight="1" x14ac:dyDescent="0.25">
      <c r="A7" s="73" t="s">
        <v>34</v>
      </c>
      <c r="B7" s="73"/>
      <c r="C7" s="74" t="s">
        <v>58</v>
      </c>
      <c r="D7" s="74"/>
      <c r="E7" s="74"/>
      <c r="F7" s="74"/>
      <c r="G7" s="74"/>
      <c r="H7" s="74"/>
      <c r="I7" s="74"/>
      <c r="J7" s="74"/>
    </row>
    <row r="8" spans="1:12" ht="15.75" customHeight="1" x14ac:dyDescent="0.25">
      <c r="A8" s="73" t="s">
        <v>35</v>
      </c>
      <c r="B8" s="73"/>
      <c r="C8" s="74" t="s">
        <v>59</v>
      </c>
      <c r="D8" s="74"/>
      <c r="E8" s="74"/>
      <c r="F8" s="74"/>
      <c r="G8" s="74"/>
      <c r="H8" s="74"/>
      <c r="I8" s="74"/>
      <c r="J8" s="74"/>
    </row>
    <row r="9" spans="1:12" x14ac:dyDescent="0.25">
      <c r="C9" s="37"/>
      <c r="D9" s="37"/>
      <c r="E9" s="37"/>
      <c r="F9" s="37"/>
      <c r="G9" s="37"/>
      <c r="H9" s="37"/>
      <c r="I9" s="37"/>
      <c r="J9" s="37"/>
    </row>
    <row r="10" spans="1:12" s="5" customFormat="1" ht="33.75" x14ac:dyDescent="0.25">
      <c r="A10" s="18" t="s">
        <v>1</v>
      </c>
      <c r="B10" s="20" t="s">
        <v>4</v>
      </c>
      <c r="C10" s="20" t="s">
        <v>5</v>
      </c>
      <c r="D10" s="20" t="s">
        <v>6</v>
      </c>
      <c r="E10" s="20" t="s">
        <v>12</v>
      </c>
      <c r="F10" s="20" t="s">
        <v>7</v>
      </c>
      <c r="G10" s="20" t="s">
        <v>8</v>
      </c>
      <c r="H10" s="18" t="s">
        <v>3</v>
      </c>
      <c r="I10" s="10" t="s">
        <v>9</v>
      </c>
      <c r="J10" s="10" t="s">
        <v>28</v>
      </c>
    </row>
    <row r="11" spans="1:12" s="11" customFormat="1" ht="33.75" x14ac:dyDescent="0.25">
      <c r="A11" s="51">
        <f>IF(B11="","",COUNTA($B$11:B11))</f>
        <v>1</v>
      </c>
      <c r="B11" s="6" t="s">
        <v>27</v>
      </c>
      <c r="C11" s="7" t="s">
        <v>13</v>
      </c>
      <c r="D11" s="8">
        <v>0.2</v>
      </c>
      <c r="E11" s="7" t="s">
        <v>14</v>
      </c>
      <c r="F11" s="9">
        <v>15</v>
      </c>
      <c r="G11" s="9" t="s">
        <v>15</v>
      </c>
      <c r="H11" s="54">
        <v>50</v>
      </c>
      <c r="I11" s="33" t="str">
        <f t="shared" ref="I11:I15" si="0">IFERROR(IF(OR(A11="",F11=""),"",IF(AND(G11&lt;&gt;"Alza",G11&lt;&gt;"Baja"),"",IF(G11="Alza",IF(AND(H11&lt;&gt;"",H11&gt;=F11),"SÍ","NO"),IF(G11="Baja",IF(AND(H11&lt;&gt;"",H11&lt;=F11),"SÍ","NO"))))),"")</f>
        <v>SÍ</v>
      </c>
      <c r="J11" s="34">
        <f>IF(B11="","",IFERROR(IF(I11="SÍ",D11*100,0),""))</f>
        <v>20</v>
      </c>
      <c r="K11" s="5"/>
      <c r="L11" s="5"/>
    </row>
    <row r="12" spans="1:12" s="11" customFormat="1" ht="33.75" x14ac:dyDescent="0.25">
      <c r="A12" s="51">
        <f>IF(B12="","",COUNTA($B$11:B12))</f>
        <v>2</v>
      </c>
      <c r="B12" s="6" t="s">
        <v>18</v>
      </c>
      <c r="C12" s="7" t="s">
        <v>13</v>
      </c>
      <c r="D12" s="8">
        <v>0.2</v>
      </c>
      <c r="E12" s="7" t="s">
        <v>14</v>
      </c>
      <c r="F12" s="7">
        <v>1</v>
      </c>
      <c r="G12" s="9" t="s">
        <v>15</v>
      </c>
      <c r="H12" s="54">
        <v>1</v>
      </c>
      <c r="I12" s="33" t="str">
        <f t="shared" si="0"/>
        <v>SÍ</v>
      </c>
      <c r="J12" s="34">
        <f t="shared" ref="J12:J16" si="1">IF(B12="","",IFERROR(IF(I12="SÍ",D12*100,0),""))</f>
        <v>20</v>
      </c>
    </row>
    <row r="13" spans="1:12" s="11" customFormat="1" ht="56.25" x14ac:dyDescent="0.25">
      <c r="A13" s="51">
        <f>IF(B13="","",COUNTA($B$11:B13))</f>
        <v>3</v>
      </c>
      <c r="B13" s="6" t="s">
        <v>19</v>
      </c>
      <c r="C13" s="7" t="s">
        <v>13</v>
      </c>
      <c r="D13" s="8">
        <v>0.2</v>
      </c>
      <c r="E13" s="7" t="s">
        <v>14</v>
      </c>
      <c r="F13" s="7">
        <v>2</v>
      </c>
      <c r="G13" s="9" t="s">
        <v>15</v>
      </c>
      <c r="H13" s="54">
        <v>2</v>
      </c>
      <c r="I13" s="33" t="str">
        <f t="shared" si="0"/>
        <v>SÍ</v>
      </c>
      <c r="J13" s="34">
        <f t="shared" si="1"/>
        <v>20</v>
      </c>
    </row>
    <row r="14" spans="1:12" s="11" customFormat="1" ht="33.75" x14ac:dyDescent="0.25">
      <c r="A14" s="51">
        <f>IF(B14="","",COUNTA($B$11:B14))</f>
        <v>4</v>
      </c>
      <c r="B14" s="6" t="s">
        <v>20</v>
      </c>
      <c r="C14" s="7" t="s">
        <v>13</v>
      </c>
      <c r="D14" s="8">
        <v>0.12</v>
      </c>
      <c r="E14" s="7" t="s">
        <v>14</v>
      </c>
      <c r="F14" s="7">
        <v>1</v>
      </c>
      <c r="G14" s="9" t="s">
        <v>15</v>
      </c>
      <c r="H14" s="54">
        <v>1</v>
      </c>
      <c r="I14" s="33" t="str">
        <f t="shared" si="0"/>
        <v>SÍ</v>
      </c>
      <c r="J14" s="34">
        <f t="shared" si="1"/>
        <v>12</v>
      </c>
    </row>
    <row r="15" spans="1:12" s="11" customFormat="1" ht="45" x14ac:dyDescent="0.25">
      <c r="A15" s="51">
        <f>IF(B15="","",COUNTA($B$11:B15))</f>
        <v>5</v>
      </c>
      <c r="B15" s="6" t="s">
        <v>21</v>
      </c>
      <c r="C15" s="7" t="s">
        <v>13</v>
      </c>
      <c r="D15" s="8">
        <v>0.12</v>
      </c>
      <c r="E15" s="7" t="s">
        <v>14</v>
      </c>
      <c r="F15" s="7">
        <v>1</v>
      </c>
      <c r="G15" s="9" t="s">
        <v>15</v>
      </c>
      <c r="H15" s="54">
        <v>1</v>
      </c>
      <c r="I15" s="33" t="str">
        <f t="shared" si="0"/>
        <v>SÍ</v>
      </c>
      <c r="J15" s="34">
        <f t="shared" si="1"/>
        <v>12</v>
      </c>
    </row>
    <row r="16" spans="1:12" s="11" customFormat="1" ht="22.5" x14ac:dyDescent="0.25">
      <c r="A16" s="52">
        <f>IF(B16="","",COUNTA($B$11:B16))</f>
        <v>6</v>
      </c>
      <c r="B16" s="1" t="s">
        <v>49</v>
      </c>
      <c r="C16" s="21" t="s">
        <v>13</v>
      </c>
      <c r="D16" s="49">
        <f>IF(B16="","",16%)</f>
        <v>0.16</v>
      </c>
      <c r="E16" s="21" t="s">
        <v>46</v>
      </c>
      <c r="F16" s="55">
        <v>80</v>
      </c>
      <c r="G16" s="23" t="s">
        <v>15</v>
      </c>
      <c r="H16" s="55">
        <v>80</v>
      </c>
      <c r="I16" s="33" t="str">
        <f>IFERROR(IF(OR(A16="",F16=""),"",IF(AND(G16&lt;&gt;"Alza",G16&lt;&gt;"Baja"),"",IF(G16="Alza",IF(AND(H16&lt;&gt;"",H16&gt;=F16),"SÍ","NO"),IF(G16="Baja",IF(AND(H16&lt;&gt;"",H16&lt;=F16),"SÍ","NO"))))),"")</f>
        <v>SÍ</v>
      </c>
      <c r="J16" s="34">
        <f t="shared" si="1"/>
        <v>16</v>
      </c>
    </row>
    <row r="17" spans="1:10" ht="29.25" customHeight="1" x14ac:dyDescent="0.25">
      <c r="A17" s="24"/>
      <c r="B17" s="28"/>
      <c r="C17" s="27" t="s">
        <v>10</v>
      </c>
      <c r="D17" s="50">
        <f>SUM($D$11:$D$16)</f>
        <v>1</v>
      </c>
      <c r="E17" s="24"/>
      <c r="F17" s="25"/>
      <c r="G17" s="25"/>
      <c r="H17" s="28"/>
      <c r="I17" s="38" t="s">
        <v>2</v>
      </c>
      <c r="J17" s="36">
        <f>IF(D17&lt;&gt;1,0,SUM($J$11:$J$16))</f>
        <v>100</v>
      </c>
    </row>
    <row r="18" spans="1:10" x14ac:dyDescent="0.25">
      <c r="D18" s="37"/>
      <c r="J18" s="37"/>
    </row>
  </sheetData>
  <sheetProtection algorithmName="SHA-512" hashValue="9SKG7zh+5IBk8JhrIHyIC0D2bFDuv0T4O1kcCj5AXPLS7CmNzUgX4FJPCBrg9gX7MMcWrdWTS1t2sqn3ZB8hcg==" saltValue="G65mCsoNb8ZQPBDmAHdypg==" spinCount="100000" sheet="1" objects="1" scenarios="1"/>
  <mergeCells count="16">
    <mergeCell ref="A3:B3"/>
    <mergeCell ref="C3:J3"/>
    <mergeCell ref="A1:B1"/>
    <mergeCell ref="C1:H1"/>
    <mergeCell ref="I1:J1"/>
    <mergeCell ref="A2:B2"/>
    <mergeCell ref="C2:H2"/>
    <mergeCell ref="A8:B8"/>
    <mergeCell ref="C8:J8"/>
    <mergeCell ref="A5:B5"/>
    <mergeCell ref="C5:E5"/>
    <mergeCell ref="I5:J5"/>
    <mergeCell ref="A6:B6"/>
    <mergeCell ref="C6:J6"/>
    <mergeCell ref="A7:B7"/>
    <mergeCell ref="C7:J7"/>
  </mergeCells>
  <conditionalFormatting sqref="D17">
    <cfRule type="cellIs" dxfId="21" priority="2" operator="notEqual">
      <formula>1</formula>
    </cfRule>
  </conditionalFormatting>
  <conditionalFormatting sqref="J17">
    <cfRule type="expression" dxfId="20" priority="1">
      <formula>$D$16&lt;&gt;0.16</formula>
    </cfRule>
  </conditionalFormatting>
  <dataValidations count="5">
    <dataValidation type="list" allowBlank="1" showInputMessage="1" showErrorMessage="1" sqref="C11:C16">
      <formula1>"Individual,Colectivo"</formula1>
    </dataValidation>
    <dataValidation type="list" allowBlank="1" showInputMessage="1" showErrorMessage="1" sqref="K11">
      <formula1>"SÍ,NO"</formula1>
    </dataValidation>
    <dataValidation type="list" allowBlank="1" showInputMessage="1" showErrorMessage="1" sqref="G11:G16">
      <formula1>"Alza,Baja"</formula1>
    </dataValidation>
    <dataValidation type="list" allowBlank="1" showInputMessage="1" showErrorMessage="1" sqref="E11:E16">
      <formula1>"Número,Porcentaje"</formula1>
    </dataValidation>
    <dataValidation type="whole" allowBlank="1" showInputMessage="1" showErrorMessage="1" errorTitle="VALOR NO NUMÉRICO" error="Debes introducir un valor numérico." sqref="H11:H16 F16">
      <formula1>0</formula1>
      <formula2>1000000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A1:L18"/>
  <sheetViews>
    <sheetView zoomScale="110" zoomScaleNormal="110" workbookViewId="0">
      <pane ySplit="8" topLeftCell="A9" activePane="bottomLeft" state="frozen"/>
      <selection activeCell="C6" sqref="C6:J6"/>
      <selection pane="bottomLeft" activeCell="C8" sqref="C8:J8"/>
    </sheetView>
  </sheetViews>
  <sheetFormatPr baseColWidth="10" defaultColWidth="9" defaultRowHeight="12" x14ac:dyDescent="0.25"/>
  <cols>
    <col min="1" max="1" width="2.5703125" style="3" customWidth="1"/>
    <col min="2" max="2" width="39.5703125" style="3" customWidth="1"/>
    <col min="3" max="3" width="17" style="3" bestFit="1" customWidth="1"/>
    <col min="4" max="4" width="12.5703125" style="3" customWidth="1"/>
    <col min="5" max="5" width="15.5703125" style="3" customWidth="1"/>
    <col min="6" max="6" width="12.42578125" style="3" customWidth="1"/>
    <col min="7" max="7" width="11.85546875" style="3" customWidth="1"/>
    <col min="8" max="8" width="9" style="3"/>
    <col min="9" max="9" width="10.5703125" style="3" customWidth="1"/>
    <col min="10" max="10" width="10.140625" style="3" customWidth="1"/>
    <col min="11" max="16384" width="9" style="3"/>
  </cols>
  <sheetData>
    <row r="1" spans="1:12" ht="15" customHeight="1" x14ac:dyDescent="0.25">
      <c r="A1" s="75" t="s">
        <v>26</v>
      </c>
      <c r="B1" s="75"/>
      <c r="C1" s="77" t="str">
        <f>IF(ISBLANK('Supervis@r'!$C$1),"",'Supervis@r'!$C$1)</f>
        <v>SERVICIOS OPERATIVOS</v>
      </c>
      <c r="D1" s="78"/>
      <c r="E1" s="78"/>
      <c r="F1" s="78"/>
      <c r="G1" s="78"/>
      <c r="H1" s="79"/>
      <c r="I1" s="60" t="s">
        <v>39</v>
      </c>
      <c r="J1" s="61"/>
    </row>
    <row r="2" spans="1:12" ht="15" customHeight="1" x14ac:dyDescent="0.25">
      <c r="A2" s="76" t="s">
        <v>22</v>
      </c>
      <c r="B2" s="76"/>
      <c r="C2" s="77" t="str">
        <f>IF(ISBLANK('Supervis@r'!$C$2),"",'Supervis@r'!$C$2)</f>
        <v>ENCARGADOS Y CAPATACES</v>
      </c>
      <c r="D2" s="78"/>
      <c r="E2" s="78"/>
      <c r="F2" s="78"/>
      <c r="G2" s="78"/>
      <c r="H2" s="79"/>
      <c r="I2" s="32">
        <f>'Supervis@r'!$I$2</f>
        <v>2025</v>
      </c>
      <c r="J2" s="32">
        <f>'Supervis@r'!$J$2</f>
        <v>2026</v>
      </c>
    </row>
    <row r="3" spans="1:12" ht="15.75" customHeight="1" x14ac:dyDescent="0.25">
      <c r="A3" s="76" t="s">
        <v>0</v>
      </c>
      <c r="B3" s="76"/>
      <c r="C3" s="77" t="str">
        <f>IF(ISBLANK('Supervis@r'!$C$3),"",CONCATENATE('Supervis@r'!$C$3," ",'Supervis@r'!$C$4,",",'Supervis@r'!$C$5))</f>
        <v>JEFE JEFE,JOSE</v>
      </c>
      <c r="D3" s="78"/>
      <c r="E3" s="78"/>
      <c r="F3" s="78"/>
      <c r="G3" s="78"/>
      <c r="H3" s="78"/>
      <c r="I3" s="78"/>
      <c r="J3" s="79"/>
    </row>
    <row r="4" spans="1:12" x14ac:dyDescent="0.25">
      <c r="B4" s="4"/>
    </row>
    <row r="5" spans="1:12" ht="16.5" customHeight="1" x14ac:dyDescent="0.25">
      <c r="A5" s="73" t="s">
        <v>11</v>
      </c>
      <c r="B5" s="73"/>
      <c r="C5" s="68"/>
      <c r="D5" s="68"/>
      <c r="E5" s="68"/>
      <c r="F5" s="18" t="s">
        <v>16</v>
      </c>
      <c r="G5" s="19"/>
      <c r="H5" s="18" t="s">
        <v>24</v>
      </c>
      <c r="I5" s="80" t="s">
        <v>23</v>
      </c>
      <c r="J5" s="80"/>
    </row>
    <row r="6" spans="1:12" ht="15.75" customHeight="1" x14ac:dyDescent="0.25">
      <c r="A6" s="73" t="s">
        <v>33</v>
      </c>
      <c r="B6" s="73"/>
      <c r="C6" s="68"/>
      <c r="D6" s="68"/>
      <c r="E6" s="68"/>
      <c r="F6" s="68"/>
      <c r="G6" s="68"/>
      <c r="H6" s="68"/>
      <c r="I6" s="68"/>
      <c r="J6" s="68"/>
    </row>
    <row r="7" spans="1:12" ht="15.75" customHeight="1" x14ac:dyDescent="0.25">
      <c r="A7" s="73" t="s">
        <v>34</v>
      </c>
      <c r="B7" s="73"/>
      <c r="C7" s="74"/>
      <c r="D7" s="74"/>
      <c r="E7" s="74"/>
      <c r="F7" s="74"/>
      <c r="G7" s="74"/>
      <c r="H7" s="74"/>
      <c r="I7" s="74"/>
      <c r="J7" s="74"/>
    </row>
    <row r="8" spans="1:12" ht="15.75" customHeight="1" x14ac:dyDescent="0.25">
      <c r="A8" s="73" t="s">
        <v>35</v>
      </c>
      <c r="B8" s="73"/>
      <c r="C8" s="74"/>
      <c r="D8" s="74"/>
      <c r="E8" s="74"/>
      <c r="F8" s="74"/>
      <c r="G8" s="74"/>
      <c r="H8" s="74"/>
      <c r="I8" s="74"/>
      <c r="J8" s="74"/>
    </row>
    <row r="9" spans="1:12" x14ac:dyDescent="0.25">
      <c r="C9" s="37"/>
      <c r="D9" s="37"/>
      <c r="E9" s="37"/>
      <c r="F9" s="37"/>
      <c r="G9" s="37"/>
      <c r="H9" s="37"/>
      <c r="I9" s="37"/>
      <c r="J9" s="37"/>
    </row>
    <row r="10" spans="1:12" s="5" customFormat="1" ht="33.75" x14ac:dyDescent="0.25">
      <c r="A10" s="18" t="s">
        <v>1</v>
      </c>
      <c r="B10" s="20" t="s">
        <v>4</v>
      </c>
      <c r="C10" s="20" t="s">
        <v>5</v>
      </c>
      <c r="D10" s="20" t="s">
        <v>6</v>
      </c>
      <c r="E10" s="20" t="s">
        <v>12</v>
      </c>
      <c r="F10" s="20" t="s">
        <v>7</v>
      </c>
      <c r="G10" s="20" t="s">
        <v>8</v>
      </c>
      <c r="H10" s="18" t="s">
        <v>3</v>
      </c>
      <c r="I10" s="10" t="s">
        <v>9</v>
      </c>
      <c r="J10" s="10" t="s">
        <v>28</v>
      </c>
    </row>
    <row r="11" spans="1:12" s="11" customFormat="1" ht="33.75" x14ac:dyDescent="0.25">
      <c r="A11" s="51">
        <f>IF(B11="","",COUNTA($B$11:B11))</f>
        <v>1</v>
      </c>
      <c r="B11" s="6" t="s">
        <v>27</v>
      </c>
      <c r="C11" s="7" t="s">
        <v>13</v>
      </c>
      <c r="D11" s="8">
        <v>0.2</v>
      </c>
      <c r="E11" s="7" t="s">
        <v>14</v>
      </c>
      <c r="F11" s="9">
        <v>15</v>
      </c>
      <c r="G11" s="9" t="s">
        <v>15</v>
      </c>
      <c r="H11" s="54">
        <v>30</v>
      </c>
      <c r="I11" s="33" t="str">
        <f t="shared" ref="I11:I15" si="0">IFERROR(IF(OR(A11="",F11=""),"",IF(AND(G11&lt;&gt;"Alza",G11&lt;&gt;"Baja"),"",IF(G11="Alza",IF(AND(H11&lt;&gt;"",H11&gt;=F11),"SÍ","NO"),IF(G11="Baja",IF(AND(H11&lt;&gt;"",H11&lt;=F11),"SÍ","NO"))))),"")</f>
        <v>SÍ</v>
      </c>
      <c r="J11" s="34">
        <f>IF(B11="","",IFERROR(IF(I11="SÍ",D11*100,0),""))</f>
        <v>20</v>
      </c>
      <c r="K11" s="5"/>
      <c r="L11" s="5"/>
    </row>
    <row r="12" spans="1:12" s="11" customFormat="1" ht="33.75" x14ac:dyDescent="0.25">
      <c r="A12" s="51">
        <f>IF(B12="","",COUNTA($B$11:B12))</f>
        <v>2</v>
      </c>
      <c r="B12" s="6" t="s">
        <v>18</v>
      </c>
      <c r="C12" s="7" t="s">
        <v>13</v>
      </c>
      <c r="D12" s="8">
        <v>0.2</v>
      </c>
      <c r="E12" s="7" t="s">
        <v>14</v>
      </c>
      <c r="F12" s="7">
        <v>1</v>
      </c>
      <c r="G12" s="9" t="s">
        <v>15</v>
      </c>
      <c r="H12" s="54">
        <v>1</v>
      </c>
      <c r="I12" s="33" t="str">
        <f t="shared" si="0"/>
        <v>SÍ</v>
      </c>
      <c r="J12" s="34">
        <f t="shared" ref="J12:J16" si="1">IF(B12="","",IFERROR(IF(I12="SÍ",D12*100,0),""))</f>
        <v>20</v>
      </c>
    </row>
    <row r="13" spans="1:12" s="11" customFormat="1" ht="56.25" x14ac:dyDescent="0.25">
      <c r="A13" s="51">
        <f>IF(B13="","",COUNTA($B$11:B13))</f>
        <v>3</v>
      </c>
      <c r="B13" s="6" t="s">
        <v>19</v>
      </c>
      <c r="C13" s="7" t="s">
        <v>13</v>
      </c>
      <c r="D13" s="8">
        <v>0.2</v>
      </c>
      <c r="E13" s="7" t="s">
        <v>14</v>
      </c>
      <c r="F13" s="7">
        <v>2</v>
      </c>
      <c r="G13" s="9" t="s">
        <v>15</v>
      </c>
      <c r="H13" s="54">
        <v>2</v>
      </c>
      <c r="I13" s="33" t="str">
        <f t="shared" si="0"/>
        <v>SÍ</v>
      </c>
      <c r="J13" s="34">
        <f t="shared" si="1"/>
        <v>20</v>
      </c>
    </row>
    <row r="14" spans="1:12" s="11" customFormat="1" ht="33.75" x14ac:dyDescent="0.25">
      <c r="A14" s="51">
        <f>IF(B14="","",COUNTA($B$11:B14))</f>
        <v>4</v>
      </c>
      <c r="B14" s="6" t="s">
        <v>20</v>
      </c>
      <c r="C14" s="7" t="s">
        <v>13</v>
      </c>
      <c r="D14" s="8">
        <v>0.12</v>
      </c>
      <c r="E14" s="7" t="s">
        <v>14</v>
      </c>
      <c r="F14" s="7">
        <v>1</v>
      </c>
      <c r="G14" s="9" t="s">
        <v>15</v>
      </c>
      <c r="H14" s="54">
        <v>1</v>
      </c>
      <c r="I14" s="33" t="str">
        <f t="shared" si="0"/>
        <v>SÍ</v>
      </c>
      <c r="J14" s="34">
        <f t="shared" si="1"/>
        <v>12</v>
      </c>
    </row>
    <row r="15" spans="1:12" s="11" customFormat="1" ht="45" x14ac:dyDescent="0.25">
      <c r="A15" s="51">
        <f>IF(B15="","",COUNTA($B$11:B15))</f>
        <v>5</v>
      </c>
      <c r="B15" s="6" t="s">
        <v>21</v>
      </c>
      <c r="C15" s="7" t="s">
        <v>13</v>
      </c>
      <c r="D15" s="8">
        <v>0.12</v>
      </c>
      <c r="E15" s="7" t="s">
        <v>14</v>
      </c>
      <c r="F15" s="7">
        <v>1</v>
      </c>
      <c r="G15" s="9" t="s">
        <v>15</v>
      </c>
      <c r="H15" s="54">
        <v>1</v>
      </c>
      <c r="I15" s="33" t="str">
        <f t="shared" si="0"/>
        <v>SÍ</v>
      </c>
      <c r="J15" s="34">
        <f t="shared" si="1"/>
        <v>12</v>
      </c>
    </row>
    <row r="16" spans="1:12" s="11" customFormat="1" ht="22.5" x14ac:dyDescent="0.25">
      <c r="A16" s="52">
        <f>IF(B16="","",COUNTA($B$11:B16))</f>
        <v>6</v>
      </c>
      <c r="B16" s="1" t="s">
        <v>49</v>
      </c>
      <c r="C16" s="21" t="s">
        <v>13</v>
      </c>
      <c r="D16" s="49">
        <f>IF(B16="","",16%)</f>
        <v>0.16</v>
      </c>
      <c r="E16" s="21" t="s">
        <v>46</v>
      </c>
      <c r="F16" s="55">
        <v>80</v>
      </c>
      <c r="G16" s="23" t="s">
        <v>15</v>
      </c>
      <c r="H16" s="55">
        <v>80</v>
      </c>
      <c r="I16" s="33" t="str">
        <f>IFERROR(IF(OR(A16="",F16=""),"",IF(AND(G16&lt;&gt;"Alza",G16&lt;&gt;"Baja"),"",IF(G16="Alza",IF(AND(H16&lt;&gt;"",H16&gt;=F16),"SÍ","NO"),IF(G16="Baja",IF(AND(H16&lt;&gt;"",H16&lt;=F16),"SÍ","NO"))))),"")</f>
        <v>SÍ</v>
      </c>
      <c r="J16" s="34">
        <f t="shared" si="1"/>
        <v>16</v>
      </c>
    </row>
    <row r="17" spans="1:10" ht="29.25" customHeight="1" x14ac:dyDescent="0.25">
      <c r="A17" s="24"/>
      <c r="B17" s="28"/>
      <c r="C17" s="27" t="s">
        <v>10</v>
      </c>
      <c r="D17" s="50">
        <f>SUM($D$11:$D$16)</f>
        <v>1</v>
      </c>
      <c r="E17" s="24"/>
      <c r="F17" s="25"/>
      <c r="G17" s="25"/>
      <c r="H17" s="28"/>
      <c r="I17" s="38" t="s">
        <v>2</v>
      </c>
      <c r="J17" s="36">
        <f>IF(D17&lt;&gt;1,0,SUM($J$11:$J$16))</f>
        <v>100</v>
      </c>
    </row>
    <row r="18" spans="1:10" x14ac:dyDescent="0.25">
      <c r="D18" s="37"/>
      <c r="J18" s="37"/>
    </row>
  </sheetData>
  <sheetProtection algorithmName="SHA-512" hashValue="uaMc+VPlHCdP6OiVuvjaDQcJ22/AVjvJ/6orx5dFJP8UVbbnGNo196fvmk/zwRQX/A04ZtmPgclw74KUnGdJxA==" saltValue="gm/AST5unJBaOCSIBlbeEg==" spinCount="100000" sheet="1" objects="1" scenarios="1"/>
  <mergeCells count="16">
    <mergeCell ref="A3:B3"/>
    <mergeCell ref="C3:J3"/>
    <mergeCell ref="A1:B1"/>
    <mergeCell ref="C1:H1"/>
    <mergeCell ref="I1:J1"/>
    <mergeCell ref="A2:B2"/>
    <mergeCell ref="C2:H2"/>
    <mergeCell ref="A8:B8"/>
    <mergeCell ref="C8:J8"/>
    <mergeCell ref="A5:B5"/>
    <mergeCell ref="C5:E5"/>
    <mergeCell ref="I5:J5"/>
    <mergeCell ref="A6:B6"/>
    <mergeCell ref="C6:J6"/>
    <mergeCell ref="A7:B7"/>
    <mergeCell ref="C7:J7"/>
  </mergeCells>
  <conditionalFormatting sqref="D17">
    <cfRule type="cellIs" dxfId="19" priority="2" operator="notEqual">
      <formula>1</formula>
    </cfRule>
  </conditionalFormatting>
  <conditionalFormatting sqref="J17">
    <cfRule type="expression" dxfId="18" priority="1">
      <formula>$D$16&lt;&gt;0.16</formula>
    </cfRule>
  </conditionalFormatting>
  <dataValidations count="5">
    <dataValidation type="list" allowBlank="1" showInputMessage="1" showErrorMessage="1" sqref="E11:E16">
      <formula1>"Número,Porcentaje"</formula1>
    </dataValidation>
    <dataValidation type="list" allowBlank="1" showInputMessage="1" showErrorMessage="1" sqref="G11:G16">
      <formula1>"Alza,Baja"</formula1>
    </dataValidation>
    <dataValidation type="list" allowBlank="1" showInputMessage="1" showErrorMessage="1" sqref="K11">
      <formula1>"SÍ,NO"</formula1>
    </dataValidation>
    <dataValidation type="list" allowBlank="1" showInputMessage="1" showErrorMessage="1" sqref="C11:C16">
      <formula1>"Individual,Colectivo"</formula1>
    </dataValidation>
    <dataValidation type="whole" allowBlank="1" showInputMessage="1" showErrorMessage="1" errorTitle="VALOR NO NUMÉRICO" error="Debes introducir un valor numérico." sqref="H11:H16 F16">
      <formula1>0</formula1>
      <formula2>1000000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dimension ref="A1:L18"/>
  <sheetViews>
    <sheetView zoomScale="110" zoomScaleNormal="110" workbookViewId="0">
      <pane ySplit="8" topLeftCell="A9" activePane="bottomLeft" state="frozen"/>
      <selection activeCell="C6" sqref="C6:J6"/>
      <selection pane="bottomLeft" activeCell="C8" sqref="C8:J8"/>
    </sheetView>
  </sheetViews>
  <sheetFormatPr baseColWidth="10" defaultColWidth="9" defaultRowHeight="12" x14ac:dyDescent="0.25"/>
  <cols>
    <col min="1" max="1" width="2.5703125" style="3" customWidth="1"/>
    <col min="2" max="2" width="39.5703125" style="3" customWidth="1"/>
    <col min="3" max="3" width="17" style="3" bestFit="1" customWidth="1"/>
    <col min="4" max="4" width="12.5703125" style="3" customWidth="1"/>
    <col min="5" max="5" width="15.5703125" style="3" customWidth="1"/>
    <col min="6" max="6" width="12.42578125" style="3" customWidth="1"/>
    <col min="7" max="7" width="11.85546875" style="3" customWidth="1"/>
    <col min="8" max="8" width="9" style="3"/>
    <col min="9" max="9" width="10.5703125" style="3" customWidth="1"/>
    <col min="10" max="10" width="10.140625" style="3" customWidth="1"/>
    <col min="11" max="16384" width="9" style="3"/>
  </cols>
  <sheetData>
    <row r="1" spans="1:12" ht="15" customHeight="1" x14ac:dyDescent="0.25">
      <c r="A1" s="75" t="s">
        <v>26</v>
      </c>
      <c r="B1" s="75"/>
      <c r="C1" s="77" t="str">
        <f>IF(ISBLANK('Supervis@r'!$C$1),"",'Supervis@r'!$C$1)</f>
        <v>SERVICIOS OPERATIVOS</v>
      </c>
      <c r="D1" s="78"/>
      <c r="E1" s="78"/>
      <c r="F1" s="78"/>
      <c r="G1" s="78"/>
      <c r="H1" s="79"/>
      <c r="I1" s="60" t="s">
        <v>39</v>
      </c>
      <c r="J1" s="61"/>
    </row>
    <row r="2" spans="1:12" ht="15" customHeight="1" x14ac:dyDescent="0.25">
      <c r="A2" s="76" t="s">
        <v>22</v>
      </c>
      <c r="B2" s="76"/>
      <c r="C2" s="77" t="str">
        <f>IF(ISBLANK('Supervis@r'!$C$2),"",'Supervis@r'!$C$2)</f>
        <v>ENCARGADOS Y CAPATACES</v>
      </c>
      <c r="D2" s="78"/>
      <c r="E2" s="78"/>
      <c r="F2" s="78"/>
      <c r="G2" s="78"/>
      <c r="H2" s="79"/>
      <c r="I2" s="32">
        <f>'Supervis@r'!$I$2</f>
        <v>2025</v>
      </c>
      <c r="J2" s="32">
        <f>'Supervis@r'!$J$2</f>
        <v>2026</v>
      </c>
    </row>
    <row r="3" spans="1:12" ht="15.75" customHeight="1" x14ac:dyDescent="0.25">
      <c r="A3" s="76" t="s">
        <v>0</v>
      </c>
      <c r="B3" s="76"/>
      <c r="C3" s="77" t="str">
        <f>IF(ISBLANK('Supervis@r'!$C$3),"",CONCATENATE('Supervis@r'!$C$3," ",'Supervis@r'!$C$4,",",'Supervis@r'!$C$5))</f>
        <v>JEFE JEFE,JOSE</v>
      </c>
      <c r="D3" s="78"/>
      <c r="E3" s="78"/>
      <c r="F3" s="78"/>
      <c r="G3" s="78"/>
      <c r="H3" s="78"/>
      <c r="I3" s="78"/>
      <c r="J3" s="79"/>
    </row>
    <row r="4" spans="1:12" x14ac:dyDescent="0.25">
      <c r="B4" s="4"/>
    </row>
    <row r="5" spans="1:12" ht="16.5" customHeight="1" x14ac:dyDescent="0.25">
      <c r="A5" s="73" t="s">
        <v>11</v>
      </c>
      <c r="B5" s="73"/>
      <c r="C5" s="68"/>
      <c r="D5" s="68"/>
      <c r="E5" s="68"/>
      <c r="F5" s="18" t="s">
        <v>16</v>
      </c>
      <c r="G5" s="19"/>
      <c r="H5" s="18" t="s">
        <v>24</v>
      </c>
      <c r="I5" s="80" t="s">
        <v>23</v>
      </c>
      <c r="J5" s="80"/>
    </row>
    <row r="6" spans="1:12" ht="15.75" customHeight="1" x14ac:dyDescent="0.25">
      <c r="A6" s="73" t="s">
        <v>33</v>
      </c>
      <c r="B6" s="73"/>
      <c r="C6" s="68"/>
      <c r="D6" s="68"/>
      <c r="E6" s="68"/>
      <c r="F6" s="68"/>
      <c r="G6" s="68"/>
      <c r="H6" s="68"/>
      <c r="I6" s="68"/>
      <c r="J6" s="68"/>
    </row>
    <row r="7" spans="1:12" ht="15.75" customHeight="1" x14ac:dyDescent="0.25">
      <c r="A7" s="73" t="s">
        <v>34</v>
      </c>
      <c r="B7" s="73"/>
      <c r="C7" s="74"/>
      <c r="D7" s="74"/>
      <c r="E7" s="74"/>
      <c r="F7" s="74"/>
      <c r="G7" s="74"/>
      <c r="H7" s="74"/>
      <c r="I7" s="74"/>
      <c r="J7" s="74"/>
    </row>
    <row r="8" spans="1:12" ht="15.75" customHeight="1" x14ac:dyDescent="0.25">
      <c r="A8" s="73" t="s">
        <v>35</v>
      </c>
      <c r="B8" s="73"/>
      <c r="C8" s="74"/>
      <c r="D8" s="74"/>
      <c r="E8" s="74"/>
      <c r="F8" s="74"/>
      <c r="G8" s="74"/>
      <c r="H8" s="74"/>
      <c r="I8" s="74"/>
      <c r="J8" s="74"/>
    </row>
    <row r="9" spans="1:12" x14ac:dyDescent="0.25">
      <c r="C9" s="37"/>
      <c r="D9" s="37"/>
      <c r="E9" s="37"/>
      <c r="F9" s="37"/>
      <c r="G9" s="37"/>
      <c r="H9" s="37"/>
      <c r="I9" s="37"/>
      <c r="J9" s="37"/>
    </row>
    <row r="10" spans="1:12" s="5" customFormat="1" ht="33.75" x14ac:dyDescent="0.25">
      <c r="A10" s="18" t="s">
        <v>1</v>
      </c>
      <c r="B10" s="20" t="s">
        <v>4</v>
      </c>
      <c r="C10" s="20" t="s">
        <v>5</v>
      </c>
      <c r="D10" s="20" t="s">
        <v>6</v>
      </c>
      <c r="E10" s="20" t="s">
        <v>12</v>
      </c>
      <c r="F10" s="20" t="s">
        <v>7</v>
      </c>
      <c r="G10" s="20" t="s">
        <v>8</v>
      </c>
      <c r="H10" s="18" t="s">
        <v>3</v>
      </c>
      <c r="I10" s="10" t="s">
        <v>9</v>
      </c>
      <c r="J10" s="10" t="s">
        <v>28</v>
      </c>
    </row>
    <row r="11" spans="1:12" s="11" customFormat="1" ht="33.75" x14ac:dyDescent="0.25">
      <c r="A11" s="51">
        <f>IF(B11="","",COUNTA($B$11:B11))</f>
        <v>1</v>
      </c>
      <c r="B11" s="6" t="s">
        <v>27</v>
      </c>
      <c r="C11" s="7" t="s">
        <v>13</v>
      </c>
      <c r="D11" s="8">
        <v>0.2</v>
      </c>
      <c r="E11" s="7" t="s">
        <v>14</v>
      </c>
      <c r="F11" s="9">
        <v>15</v>
      </c>
      <c r="G11" s="9" t="s">
        <v>15</v>
      </c>
      <c r="H11" s="54">
        <v>50</v>
      </c>
      <c r="I11" s="33" t="str">
        <f t="shared" ref="I11:I15" si="0">IFERROR(IF(OR(A11="",F11=""),"",IF(AND(G11&lt;&gt;"Alza",G11&lt;&gt;"Baja"),"",IF(G11="Alza",IF(AND(H11&lt;&gt;"",H11&gt;=F11),"SÍ","NO"),IF(G11="Baja",IF(AND(H11&lt;&gt;"",H11&lt;=F11),"SÍ","NO"))))),"")</f>
        <v>SÍ</v>
      </c>
      <c r="J11" s="34">
        <f>IF(B11="","",IFERROR(IF(I11="SÍ",D11*100,0),""))</f>
        <v>20</v>
      </c>
      <c r="K11" s="5"/>
      <c r="L11" s="5"/>
    </row>
    <row r="12" spans="1:12" s="11" customFormat="1" ht="33.75" x14ac:dyDescent="0.25">
      <c r="A12" s="51">
        <f>IF(B12="","",COUNTA($B$11:B12))</f>
        <v>2</v>
      </c>
      <c r="B12" s="6" t="s">
        <v>18</v>
      </c>
      <c r="C12" s="7" t="s">
        <v>13</v>
      </c>
      <c r="D12" s="8">
        <v>0.2</v>
      </c>
      <c r="E12" s="7" t="s">
        <v>14</v>
      </c>
      <c r="F12" s="7">
        <v>1</v>
      </c>
      <c r="G12" s="9" t="s">
        <v>15</v>
      </c>
      <c r="H12" s="54">
        <v>1</v>
      </c>
      <c r="I12" s="33" t="str">
        <f t="shared" si="0"/>
        <v>SÍ</v>
      </c>
      <c r="J12" s="34">
        <f t="shared" ref="J12:J16" si="1">IF(B12="","",IFERROR(IF(I12="SÍ",D12*100,0),""))</f>
        <v>20</v>
      </c>
    </row>
    <row r="13" spans="1:12" s="11" customFormat="1" ht="56.25" x14ac:dyDescent="0.25">
      <c r="A13" s="51">
        <f>IF(B13="","",COUNTA($B$11:B13))</f>
        <v>3</v>
      </c>
      <c r="B13" s="6" t="s">
        <v>19</v>
      </c>
      <c r="C13" s="7" t="s">
        <v>13</v>
      </c>
      <c r="D13" s="8">
        <v>0.2</v>
      </c>
      <c r="E13" s="7" t="s">
        <v>14</v>
      </c>
      <c r="F13" s="7">
        <v>2</v>
      </c>
      <c r="G13" s="9" t="s">
        <v>15</v>
      </c>
      <c r="H13" s="54">
        <v>2</v>
      </c>
      <c r="I13" s="33" t="str">
        <f t="shared" si="0"/>
        <v>SÍ</v>
      </c>
      <c r="J13" s="34">
        <f t="shared" si="1"/>
        <v>20</v>
      </c>
    </row>
    <row r="14" spans="1:12" s="11" customFormat="1" ht="33.75" x14ac:dyDescent="0.25">
      <c r="A14" s="51">
        <f>IF(B14="","",COUNTA($B$11:B14))</f>
        <v>4</v>
      </c>
      <c r="B14" s="6" t="s">
        <v>20</v>
      </c>
      <c r="C14" s="7" t="s">
        <v>13</v>
      </c>
      <c r="D14" s="8">
        <v>0.12</v>
      </c>
      <c r="E14" s="7" t="s">
        <v>14</v>
      </c>
      <c r="F14" s="7">
        <v>1</v>
      </c>
      <c r="G14" s="9" t="s">
        <v>15</v>
      </c>
      <c r="H14" s="54">
        <v>1</v>
      </c>
      <c r="I14" s="33" t="str">
        <f t="shared" si="0"/>
        <v>SÍ</v>
      </c>
      <c r="J14" s="34">
        <f t="shared" si="1"/>
        <v>12</v>
      </c>
    </row>
    <row r="15" spans="1:12" s="11" customFormat="1" ht="45" x14ac:dyDescent="0.25">
      <c r="A15" s="51">
        <f>IF(B15="","",COUNTA($B$11:B15))</f>
        <v>5</v>
      </c>
      <c r="B15" s="6" t="s">
        <v>21</v>
      </c>
      <c r="C15" s="7" t="s">
        <v>13</v>
      </c>
      <c r="D15" s="8">
        <v>0.12</v>
      </c>
      <c r="E15" s="7" t="s">
        <v>14</v>
      </c>
      <c r="F15" s="7">
        <v>1</v>
      </c>
      <c r="G15" s="9" t="s">
        <v>15</v>
      </c>
      <c r="H15" s="54">
        <v>1</v>
      </c>
      <c r="I15" s="33" t="str">
        <f t="shared" si="0"/>
        <v>SÍ</v>
      </c>
      <c r="J15" s="34">
        <f t="shared" si="1"/>
        <v>12</v>
      </c>
    </row>
    <row r="16" spans="1:12" s="11" customFormat="1" ht="22.5" x14ac:dyDescent="0.25">
      <c r="A16" s="52">
        <f>IF(B16="","",COUNTA($B$11:B16))</f>
        <v>6</v>
      </c>
      <c r="B16" s="1" t="s">
        <v>49</v>
      </c>
      <c r="C16" s="21" t="s">
        <v>13</v>
      </c>
      <c r="D16" s="49">
        <f>IF(B16="","",16%)</f>
        <v>0.16</v>
      </c>
      <c r="E16" s="21" t="s">
        <v>46</v>
      </c>
      <c r="F16" s="55">
        <v>80</v>
      </c>
      <c r="G16" s="23" t="s">
        <v>15</v>
      </c>
      <c r="H16" s="55">
        <v>80</v>
      </c>
      <c r="I16" s="33" t="str">
        <f>IFERROR(IF(OR(A16="",F16=""),"",IF(AND(G16&lt;&gt;"Alza",G16&lt;&gt;"Baja"),"",IF(G16="Alza",IF(AND(H16&lt;&gt;"",H16&gt;=F16),"SÍ","NO"),IF(G16="Baja",IF(AND(H16&lt;&gt;"",H16&lt;=F16),"SÍ","NO"))))),"")</f>
        <v>SÍ</v>
      </c>
      <c r="J16" s="34">
        <f t="shared" si="1"/>
        <v>16</v>
      </c>
    </row>
    <row r="17" spans="1:10" ht="29.25" customHeight="1" x14ac:dyDescent="0.25">
      <c r="A17" s="24"/>
      <c r="B17" s="28"/>
      <c r="C17" s="27" t="s">
        <v>10</v>
      </c>
      <c r="D17" s="50">
        <f>SUM($D$11:$D$16)</f>
        <v>1</v>
      </c>
      <c r="E17" s="24"/>
      <c r="F17" s="25"/>
      <c r="G17" s="25"/>
      <c r="H17" s="28"/>
      <c r="I17" s="38" t="s">
        <v>2</v>
      </c>
      <c r="J17" s="36">
        <f>IF(D17&lt;&gt;1,0,SUM($J$11:$J$16))</f>
        <v>100</v>
      </c>
    </row>
    <row r="18" spans="1:10" x14ac:dyDescent="0.25">
      <c r="D18" s="37"/>
      <c r="J18" s="37"/>
    </row>
  </sheetData>
  <sheetProtection algorithmName="SHA-512" hashValue="aYBlnpDmPrcWApLkDzDhz0EEjBulfwZv0Co++J1HTAXPmHf2vlGIKB4GHtrhDVZrkqqxi1kCbifbu8xh7k06iw==" saltValue="p5w6Jb3UeN0gvegMowZnYA==" spinCount="100000" sheet="1" objects="1" scenarios="1"/>
  <mergeCells count="16">
    <mergeCell ref="A3:B3"/>
    <mergeCell ref="C3:J3"/>
    <mergeCell ref="A1:B1"/>
    <mergeCell ref="C1:H1"/>
    <mergeCell ref="I1:J1"/>
    <mergeCell ref="A2:B2"/>
    <mergeCell ref="C2:H2"/>
    <mergeCell ref="A8:B8"/>
    <mergeCell ref="C8:J8"/>
    <mergeCell ref="A5:B5"/>
    <mergeCell ref="C5:E5"/>
    <mergeCell ref="I5:J5"/>
    <mergeCell ref="A6:B6"/>
    <mergeCell ref="C6:J6"/>
    <mergeCell ref="A7:B7"/>
    <mergeCell ref="C7:J7"/>
  </mergeCells>
  <conditionalFormatting sqref="D17">
    <cfRule type="cellIs" dxfId="17" priority="2" operator="notEqual">
      <formula>1</formula>
    </cfRule>
  </conditionalFormatting>
  <conditionalFormatting sqref="J17">
    <cfRule type="expression" dxfId="16" priority="1">
      <formula>$D$16&lt;&gt;0.16</formula>
    </cfRule>
  </conditionalFormatting>
  <dataValidations count="5">
    <dataValidation type="list" allowBlank="1" showInputMessage="1" showErrorMessage="1" sqref="C11:C16">
      <formula1>"Individual,Colectivo"</formula1>
    </dataValidation>
    <dataValidation type="list" allowBlank="1" showInputMessage="1" showErrorMessage="1" sqref="K11">
      <formula1>"SÍ,NO"</formula1>
    </dataValidation>
    <dataValidation type="list" allowBlank="1" showInputMessage="1" showErrorMessage="1" sqref="G11:G16">
      <formula1>"Alza,Baja"</formula1>
    </dataValidation>
    <dataValidation type="list" allowBlank="1" showInputMessage="1" showErrorMessage="1" sqref="E11:E16">
      <formula1>"Número,Porcentaje"</formula1>
    </dataValidation>
    <dataValidation type="whole" allowBlank="1" showInputMessage="1" showErrorMessage="1" errorTitle="VALOR NO NUMÉRICO" error="Debes introducir un valor numérico." sqref="H11:H16 F16">
      <formula1>0</formula1>
      <formula2>1000000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8"/>
  <dimension ref="A1:L18"/>
  <sheetViews>
    <sheetView zoomScale="110" zoomScaleNormal="110" workbookViewId="0">
      <pane ySplit="8" topLeftCell="A9" activePane="bottomLeft" state="frozen"/>
      <selection activeCell="C6" sqref="C6:J6"/>
      <selection pane="bottomLeft" activeCell="C8" sqref="C8:J8"/>
    </sheetView>
  </sheetViews>
  <sheetFormatPr baseColWidth="10" defaultColWidth="9" defaultRowHeight="12" x14ac:dyDescent="0.25"/>
  <cols>
    <col min="1" max="1" width="2.5703125" style="3" customWidth="1"/>
    <col min="2" max="2" width="39.5703125" style="3" customWidth="1"/>
    <col min="3" max="3" width="17" style="3" bestFit="1" customWidth="1"/>
    <col min="4" max="4" width="12.5703125" style="3" customWidth="1"/>
    <col min="5" max="5" width="15.5703125" style="3" customWidth="1"/>
    <col min="6" max="6" width="12.42578125" style="3" customWidth="1"/>
    <col min="7" max="7" width="11.85546875" style="3" customWidth="1"/>
    <col min="8" max="8" width="9" style="3"/>
    <col min="9" max="9" width="10.5703125" style="3" customWidth="1"/>
    <col min="10" max="10" width="10.140625" style="3" customWidth="1"/>
    <col min="11" max="16384" width="9" style="3"/>
  </cols>
  <sheetData>
    <row r="1" spans="1:12" ht="15" customHeight="1" x14ac:dyDescent="0.25">
      <c r="A1" s="75" t="s">
        <v>26</v>
      </c>
      <c r="B1" s="75"/>
      <c r="C1" s="77" t="str">
        <f>IF(ISBLANK('Supervis@r'!$C$1),"",'Supervis@r'!$C$1)</f>
        <v>SERVICIOS OPERATIVOS</v>
      </c>
      <c r="D1" s="78"/>
      <c r="E1" s="78"/>
      <c r="F1" s="78"/>
      <c r="G1" s="78"/>
      <c r="H1" s="79"/>
      <c r="I1" s="60" t="s">
        <v>39</v>
      </c>
      <c r="J1" s="61"/>
    </row>
    <row r="2" spans="1:12" ht="15" customHeight="1" x14ac:dyDescent="0.25">
      <c r="A2" s="76" t="s">
        <v>22</v>
      </c>
      <c r="B2" s="76"/>
      <c r="C2" s="77" t="str">
        <f>IF(ISBLANK('Supervis@r'!$C$2),"",'Supervis@r'!$C$2)</f>
        <v>ENCARGADOS Y CAPATACES</v>
      </c>
      <c r="D2" s="78"/>
      <c r="E2" s="78"/>
      <c r="F2" s="78"/>
      <c r="G2" s="78"/>
      <c r="H2" s="79"/>
      <c r="I2" s="32">
        <f>'Supervis@r'!$I$2</f>
        <v>2025</v>
      </c>
      <c r="J2" s="32">
        <f>'Supervis@r'!$J$2</f>
        <v>2026</v>
      </c>
    </row>
    <row r="3" spans="1:12" ht="15.75" customHeight="1" x14ac:dyDescent="0.25">
      <c r="A3" s="76" t="s">
        <v>0</v>
      </c>
      <c r="B3" s="76"/>
      <c r="C3" s="77" t="str">
        <f>IF(ISBLANK('Supervis@r'!$C$3),"",CONCATENATE('Supervis@r'!$C$3," ",'Supervis@r'!$C$4,",",'Supervis@r'!$C$5))</f>
        <v>JEFE JEFE,JOSE</v>
      </c>
      <c r="D3" s="78"/>
      <c r="E3" s="78"/>
      <c r="F3" s="78"/>
      <c r="G3" s="78"/>
      <c r="H3" s="78"/>
      <c r="I3" s="78"/>
      <c r="J3" s="79"/>
    </row>
    <row r="4" spans="1:12" x14ac:dyDescent="0.25">
      <c r="B4" s="4"/>
    </row>
    <row r="5" spans="1:12" ht="16.5" customHeight="1" x14ac:dyDescent="0.25">
      <c r="A5" s="73" t="s">
        <v>11</v>
      </c>
      <c r="B5" s="73"/>
      <c r="C5" s="68"/>
      <c r="D5" s="68"/>
      <c r="E5" s="68"/>
      <c r="F5" s="18" t="s">
        <v>16</v>
      </c>
      <c r="G5" s="19"/>
      <c r="H5" s="18" t="s">
        <v>24</v>
      </c>
      <c r="I5" s="80" t="s">
        <v>23</v>
      </c>
      <c r="J5" s="80"/>
    </row>
    <row r="6" spans="1:12" ht="15.75" customHeight="1" x14ac:dyDescent="0.25">
      <c r="A6" s="73" t="s">
        <v>33</v>
      </c>
      <c r="B6" s="73"/>
      <c r="C6" s="68"/>
      <c r="D6" s="68"/>
      <c r="E6" s="68"/>
      <c r="F6" s="68"/>
      <c r="G6" s="68"/>
      <c r="H6" s="68"/>
      <c r="I6" s="68"/>
      <c r="J6" s="68"/>
    </row>
    <row r="7" spans="1:12" ht="15.75" customHeight="1" x14ac:dyDescent="0.25">
      <c r="A7" s="73" t="s">
        <v>34</v>
      </c>
      <c r="B7" s="73"/>
      <c r="C7" s="74"/>
      <c r="D7" s="74"/>
      <c r="E7" s="74"/>
      <c r="F7" s="74"/>
      <c r="G7" s="74"/>
      <c r="H7" s="74"/>
      <c r="I7" s="74"/>
      <c r="J7" s="74"/>
    </row>
    <row r="8" spans="1:12" ht="15.75" customHeight="1" x14ac:dyDescent="0.25">
      <c r="A8" s="73" t="s">
        <v>35</v>
      </c>
      <c r="B8" s="73"/>
      <c r="C8" s="74"/>
      <c r="D8" s="74"/>
      <c r="E8" s="74"/>
      <c r="F8" s="74"/>
      <c r="G8" s="74"/>
      <c r="H8" s="74"/>
      <c r="I8" s="74"/>
      <c r="J8" s="74"/>
    </row>
    <row r="9" spans="1:12" x14ac:dyDescent="0.25">
      <c r="C9" s="37"/>
      <c r="D9" s="37"/>
      <c r="E9" s="37"/>
      <c r="F9" s="37"/>
      <c r="G9" s="37"/>
      <c r="H9" s="37"/>
      <c r="I9" s="37"/>
      <c r="J9" s="37"/>
    </row>
    <row r="10" spans="1:12" s="5" customFormat="1" ht="33.75" x14ac:dyDescent="0.25">
      <c r="A10" s="18" t="s">
        <v>1</v>
      </c>
      <c r="B10" s="20" t="s">
        <v>4</v>
      </c>
      <c r="C10" s="20" t="s">
        <v>5</v>
      </c>
      <c r="D10" s="20" t="s">
        <v>6</v>
      </c>
      <c r="E10" s="20" t="s">
        <v>12</v>
      </c>
      <c r="F10" s="20" t="s">
        <v>7</v>
      </c>
      <c r="G10" s="20" t="s">
        <v>8</v>
      </c>
      <c r="H10" s="18" t="s">
        <v>3</v>
      </c>
      <c r="I10" s="10" t="s">
        <v>9</v>
      </c>
      <c r="J10" s="10" t="s">
        <v>28</v>
      </c>
    </row>
    <row r="11" spans="1:12" s="11" customFormat="1" ht="33.75" x14ac:dyDescent="0.25">
      <c r="A11" s="51">
        <f>IF(B11="","",COUNTA($B$11:B11))</f>
        <v>1</v>
      </c>
      <c r="B11" s="6" t="s">
        <v>27</v>
      </c>
      <c r="C11" s="7" t="s">
        <v>13</v>
      </c>
      <c r="D11" s="8">
        <v>0.2</v>
      </c>
      <c r="E11" s="7" t="s">
        <v>14</v>
      </c>
      <c r="F11" s="9">
        <v>15</v>
      </c>
      <c r="G11" s="9" t="s">
        <v>15</v>
      </c>
      <c r="H11" s="54">
        <v>50</v>
      </c>
      <c r="I11" s="33" t="str">
        <f t="shared" ref="I11:I15" si="0">IFERROR(IF(OR(A11="",F11=""),"",IF(AND(G11&lt;&gt;"Alza",G11&lt;&gt;"Baja"),"",IF(G11="Alza",IF(AND(H11&lt;&gt;"",H11&gt;=F11),"SÍ","NO"),IF(G11="Baja",IF(AND(H11&lt;&gt;"",H11&lt;=F11),"SÍ","NO"))))),"")</f>
        <v>SÍ</v>
      </c>
      <c r="J11" s="34">
        <f>IF(B11="","",IFERROR(IF(I11="SÍ",D11*100,0),""))</f>
        <v>20</v>
      </c>
      <c r="K11" s="5"/>
      <c r="L11" s="5"/>
    </row>
    <row r="12" spans="1:12" s="11" customFormat="1" ht="33.75" x14ac:dyDescent="0.25">
      <c r="A12" s="51">
        <f>IF(B12="","",COUNTA($B$11:B12))</f>
        <v>2</v>
      </c>
      <c r="B12" s="6" t="s">
        <v>18</v>
      </c>
      <c r="C12" s="7" t="s">
        <v>13</v>
      </c>
      <c r="D12" s="8">
        <v>0.2</v>
      </c>
      <c r="E12" s="7" t="s">
        <v>14</v>
      </c>
      <c r="F12" s="7">
        <v>1</v>
      </c>
      <c r="G12" s="9" t="s">
        <v>15</v>
      </c>
      <c r="H12" s="54">
        <v>1</v>
      </c>
      <c r="I12" s="33" t="str">
        <f t="shared" si="0"/>
        <v>SÍ</v>
      </c>
      <c r="J12" s="34">
        <f t="shared" ref="J12:J16" si="1">IF(B12="","",IFERROR(IF(I12="SÍ",D12*100,0),""))</f>
        <v>20</v>
      </c>
    </row>
    <row r="13" spans="1:12" s="11" customFormat="1" ht="56.25" x14ac:dyDescent="0.25">
      <c r="A13" s="51">
        <f>IF(B13="","",COUNTA($B$11:B13))</f>
        <v>3</v>
      </c>
      <c r="B13" s="6" t="s">
        <v>19</v>
      </c>
      <c r="C13" s="7" t="s">
        <v>13</v>
      </c>
      <c r="D13" s="8">
        <v>0.2</v>
      </c>
      <c r="E13" s="7" t="s">
        <v>14</v>
      </c>
      <c r="F13" s="7">
        <v>2</v>
      </c>
      <c r="G13" s="9" t="s">
        <v>15</v>
      </c>
      <c r="H13" s="54">
        <v>2</v>
      </c>
      <c r="I13" s="33" t="str">
        <f t="shared" si="0"/>
        <v>SÍ</v>
      </c>
      <c r="J13" s="34">
        <f t="shared" si="1"/>
        <v>20</v>
      </c>
    </row>
    <row r="14" spans="1:12" s="11" customFormat="1" ht="33.75" x14ac:dyDescent="0.25">
      <c r="A14" s="51">
        <f>IF(B14="","",COUNTA($B$11:B14))</f>
        <v>4</v>
      </c>
      <c r="B14" s="6" t="s">
        <v>20</v>
      </c>
      <c r="C14" s="7" t="s">
        <v>13</v>
      </c>
      <c r="D14" s="8">
        <v>0.12</v>
      </c>
      <c r="E14" s="7" t="s">
        <v>14</v>
      </c>
      <c r="F14" s="7">
        <v>1</v>
      </c>
      <c r="G14" s="9" t="s">
        <v>15</v>
      </c>
      <c r="H14" s="54">
        <v>1</v>
      </c>
      <c r="I14" s="33" t="str">
        <f t="shared" si="0"/>
        <v>SÍ</v>
      </c>
      <c r="J14" s="34">
        <f t="shared" si="1"/>
        <v>12</v>
      </c>
    </row>
    <row r="15" spans="1:12" s="11" customFormat="1" ht="45" x14ac:dyDescent="0.25">
      <c r="A15" s="51">
        <f>IF(B15="","",COUNTA($B$11:B15))</f>
        <v>5</v>
      </c>
      <c r="B15" s="6" t="s">
        <v>21</v>
      </c>
      <c r="C15" s="7" t="s">
        <v>13</v>
      </c>
      <c r="D15" s="8">
        <v>0.12</v>
      </c>
      <c r="E15" s="7" t="s">
        <v>14</v>
      </c>
      <c r="F15" s="7">
        <v>1</v>
      </c>
      <c r="G15" s="9" t="s">
        <v>15</v>
      </c>
      <c r="H15" s="54">
        <v>1</v>
      </c>
      <c r="I15" s="33" t="str">
        <f t="shared" si="0"/>
        <v>SÍ</v>
      </c>
      <c r="J15" s="34">
        <f t="shared" si="1"/>
        <v>12</v>
      </c>
    </row>
    <row r="16" spans="1:12" s="11" customFormat="1" ht="22.5" x14ac:dyDescent="0.25">
      <c r="A16" s="52">
        <f>IF(B16="","",COUNTA($B$11:B16))</f>
        <v>6</v>
      </c>
      <c r="B16" s="1" t="s">
        <v>49</v>
      </c>
      <c r="C16" s="21" t="s">
        <v>13</v>
      </c>
      <c r="D16" s="49">
        <f>IF(B16="","",16%)</f>
        <v>0.16</v>
      </c>
      <c r="E16" s="21" t="s">
        <v>46</v>
      </c>
      <c r="F16" s="55">
        <v>80</v>
      </c>
      <c r="G16" s="23" t="s">
        <v>15</v>
      </c>
      <c r="H16" s="55">
        <v>80</v>
      </c>
      <c r="I16" s="33" t="str">
        <f>IFERROR(IF(OR(A16="",F16=""),"",IF(AND(G16&lt;&gt;"Alza",G16&lt;&gt;"Baja"),"",IF(G16="Alza",IF(AND(H16&lt;&gt;"",H16&gt;=F16),"SÍ","NO"),IF(G16="Baja",IF(AND(H16&lt;&gt;"",H16&lt;=F16),"SÍ","NO"))))),"")</f>
        <v>SÍ</v>
      </c>
      <c r="J16" s="34">
        <f t="shared" si="1"/>
        <v>16</v>
      </c>
    </row>
    <row r="17" spans="1:10" ht="29.25" customHeight="1" x14ac:dyDescent="0.25">
      <c r="A17" s="24"/>
      <c r="B17" s="28"/>
      <c r="C17" s="27" t="s">
        <v>10</v>
      </c>
      <c r="D17" s="50">
        <f>SUM($D$11:$D$16)</f>
        <v>1</v>
      </c>
      <c r="E17" s="24"/>
      <c r="F17" s="25"/>
      <c r="G17" s="25"/>
      <c r="H17" s="28"/>
      <c r="I17" s="38" t="s">
        <v>2</v>
      </c>
      <c r="J17" s="36">
        <f>IF(D17&lt;&gt;1,0,SUM($J$11:$J$16))</f>
        <v>100</v>
      </c>
    </row>
    <row r="18" spans="1:10" x14ac:dyDescent="0.25">
      <c r="D18" s="37"/>
      <c r="J18" s="37"/>
    </row>
  </sheetData>
  <sheetProtection algorithmName="SHA-512" hashValue="/I/S/OXGWP6EficAva3Xe14lVc/ziu2vtQeNeEp+znXfgwCyHbe38p8mABHqB+lA+mGHvKGXCIJ3tXchkIpv1g==" saltValue="+64kOnZ0zN64NqIhAUNraA==" spinCount="100000" sheet="1" objects="1" scenarios="1"/>
  <mergeCells count="16">
    <mergeCell ref="A3:B3"/>
    <mergeCell ref="C3:J3"/>
    <mergeCell ref="A1:B1"/>
    <mergeCell ref="C1:H1"/>
    <mergeCell ref="I1:J1"/>
    <mergeCell ref="A2:B2"/>
    <mergeCell ref="C2:H2"/>
    <mergeCell ref="A8:B8"/>
    <mergeCell ref="C8:J8"/>
    <mergeCell ref="A5:B5"/>
    <mergeCell ref="C5:E5"/>
    <mergeCell ref="I5:J5"/>
    <mergeCell ref="A6:B6"/>
    <mergeCell ref="C6:J6"/>
    <mergeCell ref="A7:B7"/>
    <mergeCell ref="C7:J7"/>
  </mergeCells>
  <conditionalFormatting sqref="D17">
    <cfRule type="cellIs" dxfId="15" priority="2" operator="notEqual">
      <formula>1</formula>
    </cfRule>
  </conditionalFormatting>
  <conditionalFormatting sqref="J17">
    <cfRule type="expression" dxfId="14" priority="1">
      <formula>$D$16&lt;&gt;0.16</formula>
    </cfRule>
  </conditionalFormatting>
  <dataValidations count="5">
    <dataValidation type="list" allowBlank="1" showInputMessage="1" showErrorMessage="1" sqref="E11:E16">
      <formula1>"Número,Porcentaje"</formula1>
    </dataValidation>
    <dataValidation type="list" allowBlank="1" showInputMessage="1" showErrorMessage="1" sqref="G11:G16">
      <formula1>"Alza,Baja"</formula1>
    </dataValidation>
    <dataValidation type="list" allowBlank="1" showInputMessage="1" showErrorMessage="1" sqref="K11">
      <formula1>"SÍ,NO"</formula1>
    </dataValidation>
    <dataValidation type="list" allowBlank="1" showInputMessage="1" showErrorMessage="1" sqref="C11:C16">
      <formula1>"Individual,Colectivo"</formula1>
    </dataValidation>
    <dataValidation type="whole" allowBlank="1" showInputMessage="1" showErrorMessage="1" errorTitle="VALOR NO NUMÉRICO" error="Debes introducir un valor numérico." sqref="H11:H16 F16">
      <formula1>0</formula1>
      <formula2>1000000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9"/>
  <dimension ref="A1:L18"/>
  <sheetViews>
    <sheetView zoomScale="110" zoomScaleNormal="110" workbookViewId="0">
      <pane ySplit="8" topLeftCell="A9" activePane="bottomLeft" state="frozen"/>
      <selection activeCell="C6" sqref="C6:J6"/>
      <selection pane="bottomLeft" activeCell="C8" sqref="C8:J8"/>
    </sheetView>
  </sheetViews>
  <sheetFormatPr baseColWidth="10" defaultColWidth="9" defaultRowHeight="12" x14ac:dyDescent="0.25"/>
  <cols>
    <col min="1" max="1" width="2.5703125" style="3" customWidth="1"/>
    <col min="2" max="2" width="39.5703125" style="3" customWidth="1"/>
    <col min="3" max="3" width="17" style="3" bestFit="1" customWidth="1"/>
    <col min="4" max="4" width="12.5703125" style="3" customWidth="1"/>
    <col min="5" max="5" width="15.5703125" style="3" customWidth="1"/>
    <col min="6" max="6" width="12.42578125" style="3" customWidth="1"/>
    <col min="7" max="7" width="11.85546875" style="3" customWidth="1"/>
    <col min="8" max="8" width="9" style="3"/>
    <col min="9" max="9" width="10.5703125" style="3" customWidth="1"/>
    <col min="10" max="10" width="10.140625" style="3" customWidth="1"/>
    <col min="11" max="16384" width="9" style="3"/>
  </cols>
  <sheetData>
    <row r="1" spans="1:12" ht="15" customHeight="1" x14ac:dyDescent="0.25">
      <c r="A1" s="75" t="s">
        <v>26</v>
      </c>
      <c r="B1" s="75"/>
      <c r="C1" s="77" t="str">
        <f>IF(ISBLANK('Supervis@r'!$C$1),"",'Supervis@r'!$C$1)</f>
        <v>SERVICIOS OPERATIVOS</v>
      </c>
      <c r="D1" s="78"/>
      <c r="E1" s="78"/>
      <c r="F1" s="78"/>
      <c r="G1" s="78"/>
      <c r="H1" s="79"/>
      <c r="I1" s="60" t="s">
        <v>39</v>
      </c>
      <c r="J1" s="61"/>
    </row>
    <row r="2" spans="1:12" ht="15" customHeight="1" x14ac:dyDescent="0.25">
      <c r="A2" s="76" t="s">
        <v>22</v>
      </c>
      <c r="B2" s="76"/>
      <c r="C2" s="77" t="str">
        <f>IF(ISBLANK('Supervis@r'!$C$2),"",'Supervis@r'!$C$2)</f>
        <v>ENCARGADOS Y CAPATACES</v>
      </c>
      <c r="D2" s="78"/>
      <c r="E2" s="78"/>
      <c r="F2" s="78"/>
      <c r="G2" s="78"/>
      <c r="H2" s="79"/>
      <c r="I2" s="32">
        <f>'Supervis@r'!$I$2</f>
        <v>2025</v>
      </c>
      <c r="J2" s="32">
        <f>'Supervis@r'!$J$2</f>
        <v>2026</v>
      </c>
    </row>
    <row r="3" spans="1:12" ht="15.75" customHeight="1" x14ac:dyDescent="0.25">
      <c r="A3" s="76" t="s">
        <v>0</v>
      </c>
      <c r="B3" s="76"/>
      <c r="C3" s="77" t="str">
        <f>IF(ISBLANK('Supervis@r'!$C$3),"",CONCATENATE('Supervis@r'!$C$3," ",'Supervis@r'!$C$4,",",'Supervis@r'!$C$5))</f>
        <v>JEFE JEFE,JOSE</v>
      </c>
      <c r="D3" s="78"/>
      <c r="E3" s="78"/>
      <c r="F3" s="78"/>
      <c r="G3" s="78"/>
      <c r="H3" s="78"/>
      <c r="I3" s="78"/>
      <c r="J3" s="79"/>
    </row>
    <row r="4" spans="1:12" x14ac:dyDescent="0.25">
      <c r="B4" s="4"/>
    </row>
    <row r="5" spans="1:12" ht="16.5" customHeight="1" x14ac:dyDescent="0.25">
      <c r="A5" s="73" t="s">
        <v>11</v>
      </c>
      <c r="B5" s="73"/>
      <c r="C5" s="68"/>
      <c r="D5" s="68"/>
      <c r="E5" s="68"/>
      <c r="F5" s="18" t="s">
        <v>16</v>
      </c>
      <c r="G5" s="19"/>
      <c r="H5" s="18" t="s">
        <v>24</v>
      </c>
      <c r="I5" s="80" t="s">
        <v>23</v>
      </c>
      <c r="J5" s="80"/>
    </row>
    <row r="6" spans="1:12" ht="15.75" customHeight="1" x14ac:dyDescent="0.25">
      <c r="A6" s="73" t="s">
        <v>33</v>
      </c>
      <c r="B6" s="73"/>
      <c r="C6" s="68"/>
      <c r="D6" s="68"/>
      <c r="E6" s="68"/>
      <c r="F6" s="68"/>
      <c r="G6" s="68"/>
      <c r="H6" s="68"/>
      <c r="I6" s="68"/>
      <c r="J6" s="68"/>
    </row>
    <row r="7" spans="1:12" ht="15.75" customHeight="1" x14ac:dyDescent="0.25">
      <c r="A7" s="73" t="s">
        <v>34</v>
      </c>
      <c r="B7" s="73"/>
      <c r="C7" s="74"/>
      <c r="D7" s="74"/>
      <c r="E7" s="74"/>
      <c r="F7" s="74"/>
      <c r="G7" s="74"/>
      <c r="H7" s="74"/>
      <c r="I7" s="74"/>
      <c r="J7" s="74"/>
    </row>
    <row r="8" spans="1:12" ht="15.75" customHeight="1" x14ac:dyDescent="0.25">
      <c r="A8" s="73" t="s">
        <v>35</v>
      </c>
      <c r="B8" s="73"/>
      <c r="C8" s="74"/>
      <c r="D8" s="74"/>
      <c r="E8" s="74"/>
      <c r="F8" s="74"/>
      <c r="G8" s="74"/>
      <c r="H8" s="74"/>
      <c r="I8" s="74"/>
      <c r="J8" s="74"/>
    </row>
    <row r="9" spans="1:12" x14ac:dyDescent="0.25">
      <c r="C9" s="37"/>
      <c r="D9" s="37"/>
      <c r="E9" s="37"/>
      <c r="F9" s="37"/>
      <c r="G9" s="37"/>
      <c r="H9" s="37"/>
      <c r="I9" s="37"/>
      <c r="J9" s="37"/>
    </row>
    <row r="10" spans="1:12" s="5" customFormat="1" ht="33.75" x14ac:dyDescent="0.25">
      <c r="A10" s="18" t="s">
        <v>1</v>
      </c>
      <c r="B10" s="20" t="s">
        <v>4</v>
      </c>
      <c r="C10" s="20" t="s">
        <v>5</v>
      </c>
      <c r="D10" s="20" t="s">
        <v>6</v>
      </c>
      <c r="E10" s="20" t="s">
        <v>12</v>
      </c>
      <c r="F10" s="20" t="s">
        <v>7</v>
      </c>
      <c r="G10" s="20" t="s">
        <v>8</v>
      </c>
      <c r="H10" s="18" t="s">
        <v>3</v>
      </c>
      <c r="I10" s="10" t="s">
        <v>9</v>
      </c>
      <c r="J10" s="10" t="s">
        <v>28</v>
      </c>
    </row>
    <row r="11" spans="1:12" s="11" customFormat="1" ht="33.75" x14ac:dyDescent="0.25">
      <c r="A11" s="51">
        <f>IF(B11="","",COUNTA($B$11:B11))</f>
        <v>1</v>
      </c>
      <c r="B11" s="6" t="s">
        <v>27</v>
      </c>
      <c r="C11" s="7" t="s">
        <v>13</v>
      </c>
      <c r="D11" s="8">
        <v>0.2</v>
      </c>
      <c r="E11" s="7" t="s">
        <v>14</v>
      </c>
      <c r="F11" s="9">
        <v>15</v>
      </c>
      <c r="G11" s="9" t="s">
        <v>15</v>
      </c>
      <c r="H11" s="54">
        <v>50</v>
      </c>
      <c r="I11" s="33" t="str">
        <f t="shared" ref="I11:I15" si="0">IFERROR(IF(OR(A11="",F11=""),"",IF(AND(G11&lt;&gt;"Alza",G11&lt;&gt;"Baja"),"",IF(G11="Alza",IF(AND(H11&lt;&gt;"",H11&gt;=F11),"SÍ","NO"),IF(G11="Baja",IF(AND(H11&lt;&gt;"",H11&lt;=F11),"SÍ","NO"))))),"")</f>
        <v>SÍ</v>
      </c>
      <c r="J11" s="34">
        <f>IF(B11="","",IFERROR(IF(I11="SÍ",D11*100,0),""))</f>
        <v>20</v>
      </c>
      <c r="K11" s="5"/>
      <c r="L11" s="5"/>
    </row>
    <row r="12" spans="1:12" s="11" customFormat="1" ht="33.75" x14ac:dyDescent="0.25">
      <c r="A12" s="51">
        <f>IF(B12="","",COUNTA($B$11:B12))</f>
        <v>2</v>
      </c>
      <c r="B12" s="6" t="s">
        <v>18</v>
      </c>
      <c r="C12" s="7" t="s">
        <v>13</v>
      </c>
      <c r="D12" s="8">
        <v>0.2</v>
      </c>
      <c r="E12" s="7" t="s">
        <v>14</v>
      </c>
      <c r="F12" s="7">
        <v>1</v>
      </c>
      <c r="G12" s="9" t="s">
        <v>15</v>
      </c>
      <c r="H12" s="54">
        <v>1</v>
      </c>
      <c r="I12" s="33" t="str">
        <f t="shared" si="0"/>
        <v>SÍ</v>
      </c>
      <c r="J12" s="34">
        <f t="shared" ref="J12:J16" si="1">IF(B12="","",IFERROR(IF(I12="SÍ",D12*100,0),""))</f>
        <v>20</v>
      </c>
    </row>
    <row r="13" spans="1:12" s="11" customFormat="1" ht="56.25" x14ac:dyDescent="0.25">
      <c r="A13" s="51">
        <f>IF(B13="","",COUNTA($B$11:B13))</f>
        <v>3</v>
      </c>
      <c r="B13" s="6" t="s">
        <v>19</v>
      </c>
      <c r="C13" s="7" t="s">
        <v>13</v>
      </c>
      <c r="D13" s="8">
        <v>0.2</v>
      </c>
      <c r="E13" s="7" t="s">
        <v>14</v>
      </c>
      <c r="F13" s="7">
        <v>2</v>
      </c>
      <c r="G13" s="9" t="s">
        <v>15</v>
      </c>
      <c r="H13" s="54">
        <v>2</v>
      </c>
      <c r="I13" s="33" t="str">
        <f t="shared" si="0"/>
        <v>SÍ</v>
      </c>
      <c r="J13" s="34">
        <f t="shared" si="1"/>
        <v>20</v>
      </c>
    </row>
    <row r="14" spans="1:12" s="11" customFormat="1" ht="33.75" x14ac:dyDescent="0.25">
      <c r="A14" s="51">
        <f>IF(B14="","",COUNTA($B$11:B14))</f>
        <v>4</v>
      </c>
      <c r="B14" s="6" t="s">
        <v>20</v>
      </c>
      <c r="C14" s="7" t="s">
        <v>13</v>
      </c>
      <c r="D14" s="8">
        <v>0.12</v>
      </c>
      <c r="E14" s="7" t="s">
        <v>14</v>
      </c>
      <c r="F14" s="7">
        <v>1</v>
      </c>
      <c r="G14" s="9" t="s">
        <v>15</v>
      </c>
      <c r="H14" s="54">
        <v>1</v>
      </c>
      <c r="I14" s="33" t="str">
        <f t="shared" si="0"/>
        <v>SÍ</v>
      </c>
      <c r="J14" s="34">
        <f t="shared" si="1"/>
        <v>12</v>
      </c>
    </row>
    <row r="15" spans="1:12" s="11" customFormat="1" ht="45" x14ac:dyDescent="0.25">
      <c r="A15" s="51">
        <f>IF(B15="","",COUNTA($B$11:B15))</f>
        <v>5</v>
      </c>
      <c r="B15" s="6" t="s">
        <v>21</v>
      </c>
      <c r="C15" s="7" t="s">
        <v>13</v>
      </c>
      <c r="D15" s="8">
        <v>0.12</v>
      </c>
      <c r="E15" s="7" t="s">
        <v>14</v>
      </c>
      <c r="F15" s="7">
        <v>1</v>
      </c>
      <c r="G15" s="9" t="s">
        <v>15</v>
      </c>
      <c r="H15" s="54">
        <v>1</v>
      </c>
      <c r="I15" s="33" t="str">
        <f t="shared" si="0"/>
        <v>SÍ</v>
      </c>
      <c r="J15" s="34">
        <f t="shared" si="1"/>
        <v>12</v>
      </c>
    </row>
    <row r="16" spans="1:12" s="11" customFormat="1" ht="22.5" x14ac:dyDescent="0.25">
      <c r="A16" s="52">
        <f>IF(B16="","",COUNTA($B$11:B16))</f>
        <v>6</v>
      </c>
      <c r="B16" s="1" t="s">
        <v>49</v>
      </c>
      <c r="C16" s="21" t="s">
        <v>13</v>
      </c>
      <c r="D16" s="49">
        <f>IF(B16="","",16%)</f>
        <v>0.16</v>
      </c>
      <c r="E16" s="21" t="s">
        <v>46</v>
      </c>
      <c r="F16" s="55">
        <v>80</v>
      </c>
      <c r="G16" s="23" t="s">
        <v>15</v>
      </c>
      <c r="H16" s="55">
        <v>80</v>
      </c>
      <c r="I16" s="33" t="str">
        <f>IFERROR(IF(OR(A16="",F16=""),"",IF(AND(G16&lt;&gt;"Alza",G16&lt;&gt;"Baja"),"",IF(G16="Alza",IF(AND(H16&lt;&gt;"",H16&gt;=F16),"SÍ","NO"),IF(G16="Baja",IF(AND(H16&lt;&gt;"",H16&lt;=F16),"SÍ","NO"))))),"")</f>
        <v>SÍ</v>
      </c>
      <c r="J16" s="34">
        <f t="shared" si="1"/>
        <v>16</v>
      </c>
    </row>
    <row r="17" spans="1:10" ht="29.25" customHeight="1" x14ac:dyDescent="0.25">
      <c r="A17" s="24"/>
      <c r="B17" s="28"/>
      <c r="C17" s="27" t="s">
        <v>10</v>
      </c>
      <c r="D17" s="50">
        <f>SUM($D$11:$D$16)</f>
        <v>1</v>
      </c>
      <c r="E17" s="24"/>
      <c r="F17" s="25"/>
      <c r="G17" s="25"/>
      <c r="H17" s="28"/>
      <c r="I17" s="38" t="s">
        <v>2</v>
      </c>
      <c r="J17" s="36">
        <f>IF(D17&lt;&gt;1,0,SUM($J$11:$J$16))</f>
        <v>100</v>
      </c>
    </row>
    <row r="18" spans="1:10" x14ac:dyDescent="0.25">
      <c r="D18" s="37"/>
      <c r="J18" s="37"/>
    </row>
  </sheetData>
  <sheetProtection algorithmName="SHA-512" hashValue="NJ1Jes7oFXi7OzRvXiAMw6Kw1XnX5B00V+Oi/oGIyWLuFRBTndVGIRCs95q5BI4w+aDFCosNE092ckC85krHcQ==" saltValue="rl5L18h48+URxRJr7DSUEQ==" spinCount="100000" sheet="1" objects="1" scenarios="1"/>
  <mergeCells count="16">
    <mergeCell ref="A3:B3"/>
    <mergeCell ref="C3:J3"/>
    <mergeCell ref="A1:B1"/>
    <mergeCell ref="C1:H1"/>
    <mergeCell ref="I1:J1"/>
    <mergeCell ref="A2:B2"/>
    <mergeCell ref="C2:H2"/>
    <mergeCell ref="A8:B8"/>
    <mergeCell ref="C8:J8"/>
    <mergeCell ref="A5:B5"/>
    <mergeCell ref="C5:E5"/>
    <mergeCell ref="I5:J5"/>
    <mergeCell ref="A6:B6"/>
    <mergeCell ref="C6:J6"/>
    <mergeCell ref="A7:B7"/>
    <mergeCell ref="C7:J7"/>
  </mergeCells>
  <conditionalFormatting sqref="D17">
    <cfRule type="cellIs" dxfId="13" priority="2" operator="notEqual">
      <formula>1</formula>
    </cfRule>
  </conditionalFormatting>
  <conditionalFormatting sqref="J17">
    <cfRule type="expression" dxfId="12" priority="1">
      <formula>$D$16&lt;&gt;0.16</formula>
    </cfRule>
  </conditionalFormatting>
  <dataValidations count="5">
    <dataValidation type="list" allowBlank="1" showInputMessage="1" showErrorMessage="1" sqref="C11:C16">
      <formula1>"Individual,Colectivo"</formula1>
    </dataValidation>
    <dataValidation type="list" allowBlank="1" showInputMessage="1" showErrorMessage="1" sqref="K11">
      <formula1>"SÍ,NO"</formula1>
    </dataValidation>
    <dataValidation type="list" allowBlank="1" showInputMessage="1" showErrorMessage="1" sqref="G11:G16">
      <formula1>"Alza,Baja"</formula1>
    </dataValidation>
    <dataValidation type="list" allowBlank="1" showInputMessage="1" showErrorMessage="1" sqref="E11:E16">
      <formula1>"Número,Porcentaje"</formula1>
    </dataValidation>
    <dataValidation type="whole" allowBlank="1" showInputMessage="1" showErrorMessage="1" errorTitle="VALOR NO NUMÉRICO" error="Debes introducir un valor numérico." sqref="H11:H16 F16">
      <formula1>0</formula1>
      <formula2>1000000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0"/>
  <dimension ref="A1:L18"/>
  <sheetViews>
    <sheetView zoomScale="110" zoomScaleNormal="110" workbookViewId="0">
      <pane ySplit="8" topLeftCell="A11" activePane="bottomLeft" state="frozen"/>
      <selection activeCell="C6" sqref="C6:J6"/>
      <selection pane="bottomLeft" activeCell="C8" sqref="C8:J8"/>
    </sheetView>
  </sheetViews>
  <sheetFormatPr baseColWidth="10" defaultColWidth="9" defaultRowHeight="12" x14ac:dyDescent="0.25"/>
  <cols>
    <col min="1" max="1" width="2.5703125" style="3" customWidth="1"/>
    <col min="2" max="2" width="39.5703125" style="3" customWidth="1"/>
    <col min="3" max="3" width="17" style="3" bestFit="1" customWidth="1"/>
    <col min="4" max="4" width="12.5703125" style="3" customWidth="1"/>
    <col min="5" max="5" width="15.5703125" style="3" customWidth="1"/>
    <col min="6" max="6" width="12.42578125" style="3" customWidth="1"/>
    <col min="7" max="7" width="11.85546875" style="3" customWidth="1"/>
    <col min="8" max="8" width="9" style="3"/>
    <col min="9" max="9" width="10.5703125" style="3" customWidth="1"/>
    <col min="10" max="10" width="10.140625" style="3" customWidth="1"/>
    <col min="11" max="16384" width="9" style="3"/>
  </cols>
  <sheetData>
    <row r="1" spans="1:12" ht="15" customHeight="1" x14ac:dyDescent="0.25">
      <c r="A1" s="75" t="s">
        <v>26</v>
      </c>
      <c r="B1" s="75"/>
      <c r="C1" s="77" t="str">
        <f>IF(ISBLANK('Supervis@r'!$C$1),"",'Supervis@r'!$C$1)</f>
        <v>SERVICIOS OPERATIVOS</v>
      </c>
      <c r="D1" s="78"/>
      <c r="E1" s="78"/>
      <c r="F1" s="78"/>
      <c r="G1" s="78"/>
      <c r="H1" s="79"/>
      <c r="I1" s="60" t="s">
        <v>39</v>
      </c>
      <c r="J1" s="61"/>
    </row>
    <row r="2" spans="1:12" ht="15" customHeight="1" x14ac:dyDescent="0.25">
      <c r="A2" s="76" t="s">
        <v>22</v>
      </c>
      <c r="B2" s="76"/>
      <c r="C2" s="77" t="str">
        <f>IF(ISBLANK('Supervis@r'!$C$2),"",'Supervis@r'!$C$2)</f>
        <v>ENCARGADOS Y CAPATACES</v>
      </c>
      <c r="D2" s="78"/>
      <c r="E2" s="78"/>
      <c r="F2" s="78"/>
      <c r="G2" s="78"/>
      <c r="H2" s="79"/>
      <c r="I2" s="32">
        <f>'Supervis@r'!$I$2</f>
        <v>2025</v>
      </c>
      <c r="J2" s="32">
        <f>'Supervis@r'!$J$2</f>
        <v>2026</v>
      </c>
    </row>
    <row r="3" spans="1:12" ht="15.75" customHeight="1" x14ac:dyDescent="0.25">
      <c r="A3" s="76" t="s">
        <v>0</v>
      </c>
      <c r="B3" s="76"/>
      <c r="C3" s="77" t="str">
        <f>IF(ISBLANK('Supervis@r'!$C$3),"",CONCATENATE('Supervis@r'!$C$3," ",'Supervis@r'!$C$4,",",'Supervis@r'!$C$5))</f>
        <v>JEFE JEFE,JOSE</v>
      </c>
      <c r="D3" s="78"/>
      <c r="E3" s="78"/>
      <c r="F3" s="78"/>
      <c r="G3" s="78"/>
      <c r="H3" s="78"/>
      <c r="I3" s="78"/>
      <c r="J3" s="79"/>
    </row>
    <row r="4" spans="1:12" x14ac:dyDescent="0.25">
      <c r="B4" s="4"/>
    </row>
    <row r="5" spans="1:12" ht="16.5" customHeight="1" x14ac:dyDescent="0.25">
      <c r="A5" s="73" t="s">
        <v>11</v>
      </c>
      <c r="B5" s="73"/>
      <c r="C5" s="68"/>
      <c r="D5" s="68"/>
      <c r="E5" s="68"/>
      <c r="F5" s="18" t="s">
        <v>16</v>
      </c>
      <c r="G5" s="19"/>
      <c r="H5" s="18" t="s">
        <v>24</v>
      </c>
      <c r="I5" s="80" t="s">
        <v>23</v>
      </c>
      <c r="J5" s="80"/>
    </row>
    <row r="6" spans="1:12" ht="15.75" customHeight="1" x14ac:dyDescent="0.25">
      <c r="A6" s="73" t="s">
        <v>33</v>
      </c>
      <c r="B6" s="73"/>
      <c r="C6" s="68"/>
      <c r="D6" s="68"/>
      <c r="E6" s="68"/>
      <c r="F6" s="68"/>
      <c r="G6" s="68"/>
      <c r="H6" s="68"/>
      <c r="I6" s="68"/>
      <c r="J6" s="68"/>
    </row>
    <row r="7" spans="1:12" ht="15.75" customHeight="1" x14ac:dyDescent="0.25">
      <c r="A7" s="73" t="s">
        <v>34</v>
      </c>
      <c r="B7" s="73"/>
      <c r="C7" s="74"/>
      <c r="D7" s="74"/>
      <c r="E7" s="74"/>
      <c r="F7" s="74"/>
      <c r="G7" s="74"/>
      <c r="H7" s="74"/>
      <c r="I7" s="74"/>
      <c r="J7" s="74"/>
    </row>
    <row r="8" spans="1:12" ht="15.75" customHeight="1" x14ac:dyDescent="0.25">
      <c r="A8" s="73" t="s">
        <v>35</v>
      </c>
      <c r="B8" s="73"/>
      <c r="C8" s="74"/>
      <c r="D8" s="74"/>
      <c r="E8" s="74"/>
      <c r="F8" s="74"/>
      <c r="G8" s="74"/>
      <c r="H8" s="74"/>
      <c r="I8" s="74"/>
      <c r="J8" s="74"/>
    </row>
    <row r="9" spans="1:12" x14ac:dyDescent="0.25">
      <c r="C9" s="37"/>
      <c r="D9" s="37"/>
      <c r="E9" s="37"/>
      <c r="F9" s="37"/>
      <c r="G9" s="37"/>
      <c r="H9" s="37"/>
      <c r="I9" s="37"/>
      <c r="J9" s="37"/>
    </row>
    <row r="10" spans="1:12" s="5" customFormat="1" ht="33.75" x14ac:dyDescent="0.25">
      <c r="A10" s="18" t="s">
        <v>1</v>
      </c>
      <c r="B10" s="20" t="s">
        <v>4</v>
      </c>
      <c r="C10" s="20" t="s">
        <v>5</v>
      </c>
      <c r="D10" s="20" t="s">
        <v>6</v>
      </c>
      <c r="E10" s="20" t="s">
        <v>12</v>
      </c>
      <c r="F10" s="20" t="s">
        <v>7</v>
      </c>
      <c r="G10" s="20" t="s">
        <v>8</v>
      </c>
      <c r="H10" s="18" t="s">
        <v>3</v>
      </c>
      <c r="I10" s="10" t="s">
        <v>9</v>
      </c>
      <c r="J10" s="10" t="s">
        <v>28</v>
      </c>
    </row>
    <row r="11" spans="1:12" s="11" customFormat="1" ht="33.75" x14ac:dyDescent="0.25">
      <c r="A11" s="51">
        <f>IF(B11="","",COUNTA($B$11:B11))</f>
        <v>1</v>
      </c>
      <c r="B11" s="6" t="s">
        <v>27</v>
      </c>
      <c r="C11" s="7" t="s">
        <v>13</v>
      </c>
      <c r="D11" s="8">
        <v>0.2</v>
      </c>
      <c r="E11" s="7" t="s">
        <v>14</v>
      </c>
      <c r="F11" s="9">
        <v>15</v>
      </c>
      <c r="G11" s="9" t="s">
        <v>15</v>
      </c>
      <c r="H11" s="54">
        <v>50</v>
      </c>
      <c r="I11" s="33" t="str">
        <f t="shared" ref="I11:I15" si="0">IFERROR(IF(OR(A11="",F11=""),"",IF(AND(G11&lt;&gt;"Alza",G11&lt;&gt;"Baja"),"",IF(G11="Alza",IF(AND(H11&lt;&gt;"",H11&gt;=F11),"SÍ","NO"),IF(G11="Baja",IF(AND(H11&lt;&gt;"",H11&lt;=F11),"SÍ","NO"))))),"")</f>
        <v>SÍ</v>
      </c>
      <c r="J11" s="34">
        <f>IF(B11="","",IFERROR(IF(I11="SÍ",D11*100,0),""))</f>
        <v>20</v>
      </c>
      <c r="K11" s="5"/>
      <c r="L11" s="5"/>
    </row>
    <row r="12" spans="1:12" s="11" customFormat="1" ht="33.75" x14ac:dyDescent="0.25">
      <c r="A12" s="51">
        <f>IF(B12="","",COUNTA($B$11:B12))</f>
        <v>2</v>
      </c>
      <c r="B12" s="6" t="s">
        <v>18</v>
      </c>
      <c r="C12" s="7" t="s">
        <v>13</v>
      </c>
      <c r="D12" s="8">
        <v>0.2</v>
      </c>
      <c r="E12" s="7" t="s">
        <v>14</v>
      </c>
      <c r="F12" s="7">
        <v>1</v>
      </c>
      <c r="G12" s="9" t="s">
        <v>15</v>
      </c>
      <c r="H12" s="54">
        <v>1</v>
      </c>
      <c r="I12" s="33" t="str">
        <f t="shared" si="0"/>
        <v>SÍ</v>
      </c>
      <c r="J12" s="34">
        <f t="shared" ref="J12:J16" si="1">IF(B12="","",IFERROR(IF(I12="SÍ",D12*100,0),""))</f>
        <v>20</v>
      </c>
    </row>
    <row r="13" spans="1:12" s="11" customFormat="1" ht="56.25" x14ac:dyDescent="0.25">
      <c r="A13" s="51">
        <f>IF(B13="","",COUNTA($B$11:B13))</f>
        <v>3</v>
      </c>
      <c r="B13" s="6" t="s">
        <v>19</v>
      </c>
      <c r="C13" s="7" t="s">
        <v>13</v>
      </c>
      <c r="D13" s="8">
        <v>0.2</v>
      </c>
      <c r="E13" s="7" t="s">
        <v>14</v>
      </c>
      <c r="F13" s="7">
        <v>2</v>
      </c>
      <c r="G13" s="9" t="s">
        <v>15</v>
      </c>
      <c r="H13" s="54">
        <v>2</v>
      </c>
      <c r="I13" s="33" t="str">
        <f t="shared" si="0"/>
        <v>SÍ</v>
      </c>
      <c r="J13" s="34">
        <f t="shared" si="1"/>
        <v>20</v>
      </c>
    </row>
    <row r="14" spans="1:12" s="11" customFormat="1" ht="33.75" x14ac:dyDescent="0.25">
      <c r="A14" s="51">
        <f>IF(B14="","",COUNTA($B$11:B14))</f>
        <v>4</v>
      </c>
      <c r="B14" s="6" t="s">
        <v>20</v>
      </c>
      <c r="C14" s="7" t="s">
        <v>13</v>
      </c>
      <c r="D14" s="8">
        <v>0.12</v>
      </c>
      <c r="E14" s="7" t="s">
        <v>14</v>
      </c>
      <c r="F14" s="7">
        <v>1</v>
      </c>
      <c r="G14" s="9" t="s">
        <v>15</v>
      </c>
      <c r="H14" s="54">
        <v>1</v>
      </c>
      <c r="I14" s="33" t="str">
        <f t="shared" si="0"/>
        <v>SÍ</v>
      </c>
      <c r="J14" s="34">
        <f t="shared" si="1"/>
        <v>12</v>
      </c>
    </row>
    <row r="15" spans="1:12" s="11" customFormat="1" ht="45" x14ac:dyDescent="0.25">
      <c r="A15" s="51">
        <f>IF(B15="","",COUNTA($B$11:B15))</f>
        <v>5</v>
      </c>
      <c r="B15" s="6" t="s">
        <v>21</v>
      </c>
      <c r="C15" s="7" t="s">
        <v>13</v>
      </c>
      <c r="D15" s="8">
        <v>0.12</v>
      </c>
      <c r="E15" s="7" t="s">
        <v>14</v>
      </c>
      <c r="F15" s="7">
        <v>1</v>
      </c>
      <c r="G15" s="9" t="s">
        <v>15</v>
      </c>
      <c r="H15" s="54">
        <v>1</v>
      </c>
      <c r="I15" s="33" t="str">
        <f t="shared" si="0"/>
        <v>SÍ</v>
      </c>
      <c r="J15" s="34">
        <f t="shared" si="1"/>
        <v>12</v>
      </c>
    </row>
    <row r="16" spans="1:12" s="11" customFormat="1" ht="22.5" x14ac:dyDescent="0.25">
      <c r="A16" s="52">
        <f>IF(B16="","",COUNTA($B$11:B16))</f>
        <v>6</v>
      </c>
      <c r="B16" s="1" t="s">
        <v>49</v>
      </c>
      <c r="C16" s="21" t="s">
        <v>13</v>
      </c>
      <c r="D16" s="49">
        <f>IF(B16="","",16%)</f>
        <v>0.16</v>
      </c>
      <c r="E16" s="21" t="s">
        <v>46</v>
      </c>
      <c r="F16" s="55">
        <v>80</v>
      </c>
      <c r="G16" s="23" t="s">
        <v>15</v>
      </c>
      <c r="H16" s="55">
        <v>80</v>
      </c>
      <c r="I16" s="33" t="str">
        <f>IFERROR(IF(OR(A16="",F16=""),"",IF(AND(G16&lt;&gt;"Alza",G16&lt;&gt;"Baja"),"",IF(G16="Alza",IF(AND(H16&lt;&gt;"",H16&gt;=F16),"SÍ","NO"),IF(G16="Baja",IF(AND(H16&lt;&gt;"",H16&lt;=F16),"SÍ","NO"))))),"")</f>
        <v>SÍ</v>
      </c>
      <c r="J16" s="34">
        <f t="shared" si="1"/>
        <v>16</v>
      </c>
    </row>
    <row r="17" spans="1:10" ht="29.25" customHeight="1" x14ac:dyDescent="0.25">
      <c r="A17" s="24"/>
      <c r="B17" s="28"/>
      <c r="C17" s="27" t="s">
        <v>10</v>
      </c>
      <c r="D17" s="50">
        <f>SUM($D$11:$D$16)</f>
        <v>1</v>
      </c>
      <c r="E17" s="24"/>
      <c r="F17" s="25"/>
      <c r="G17" s="25"/>
      <c r="H17" s="28"/>
      <c r="I17" s="38" t="s">
        <v>2</v>
      </c>
      <c r="J17" s="36">
        <f>IF(D17&lt;&gt;1,0,SUM($J$11:$J$16))</f>
        <v>100</v>
      </c>
    </row>
    <row r="18" spans="1:10" x14ac:dyDescent="0.25">
      <c r="D18" s="37"/>
      <c r="J18" s="37"/>
    </row>
  </sheetData>
  <sheetProtection algorithmName="SHA-512" hashValue="mB6TKTnF0+kMySKEnuZEWZM4+bxYTAyRG2Way3eQ7G5J5U/z5G9PEtjcwHyFCL+j6oeWs1B1IrSqf5uIJIY50Q==" saltValue="ASqFDhJB27BekhkNJpU4Kg==" spinCount="100000" sheet="1" objects="1" scenarios="1"/>
  <mergeCells count="16">
    <mergeCell ref="A3:B3"/>
    <mergeCell ref="C3:J3"/>
    <mergeCell ref="A1:B1"/>
    <mergeCell ref="C1:H1"/>
    <mergeCell ref="I1:J1"/>
    <mergeCell ref="A2:B2"/>
    <mergeCell ref="C2:H2"/>
    <mergeCell ref="A8:B8"/>
    <mergeCell ref="C8:J8"/>
    <mergeCell ref="A5:B5"/>
    <mergeCell ref="C5:E5"/>
    <mergeCell ref="I5:J5"/>
    <mergeCell ref="A6:B6"/>
    <mergeCell ref="C6:J6"/>
    <mergeCell ref="A7:B7"/>
    <mergeCell ref="C7:J7"/>
  </mergeCells>
  <conditionalFormatting sqref="D17">
    <cfRule type="cellIs" dxfId="11" priority="2" operator="notEqual">
      <formula>1</formula>
    </cfRule>
  </conditionalFormatting>
  <conditionalFormatting sqref="J17">
    <cfRule type="expression" dxfId="10" priority="1">
      <formula>$D$16&lt;&gt;0.16</formula>
    </cfRule>
  </conditionalFormatting>
  <dataValidations count="5">
    <dataValidation type="list" allowBlank="1" showInputMessage="1" showErrorMessage="1" sqref="E11:E16">
      <formula1>"Número,Porcentaje"</formula1>
    </dataValidation>
    <dataValidation type="list" allowBlank="1" showInputMessage="1" showErrorMessage="1" sqref="G11:G16">
      <formula1>"Alza,Baja"</formula1>
    </dataValidation>
    <dataValidation type="list" allowBlank="1" showInputMessage="1" showErrorMessage="1" sqref="K11">
      <formula1>"SÍ,NO"</formula1>
    </dataValidation>
    <dataValidation type="list" allowBlank="1" showInputMessage="1" showErrorMessage="1" sqref="C11:C16">
      <formula1>"Individual,Colectivo"</formula1>
    </dataValidation>
    <dataValidation type="whole" allowBlank="1" showInputMessage="1" showErrorMessage="1" errorTitle="VALOR NO NUMÉRICO" error="Debes introducir un valor numérico." sqref="H11:H16 F16">
      <formula1>0</formula1>
      <formula2>1000000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1"/>
  <dimension ref="A1:L18"/>
  <sheetViews>
    <sheetView zoomScale="110" zoomScaleNormal="110" workbookViewId="0">
      <pane ySplit="8" topLeftCell="A9" activePane="bottomLeft" state="frozen"/>
      <selection activeCell="C6" sqref="C6:J6"/>
      <selection pane="bottomLeft" activeCell="C8" sqref="C8:J8"/>
    </sheetView>
  </sheetViews>
  <sheetFormatPr baseColWidth="10" defaultColWidth="9" defaultRowHeight="12" x14ac:dyDescent="0.25"/>
  <cols>
    <col min="1" max="1" width="2.5703125" style="3" customWidth="1"/>
    <col min="2" max="2" width="39.5703125" style="3" customWidth="1"/>
    <col min="3" max="3" width="17" style="3" bestFit="1" customWidth="1"/>
    <col min="4" max="4" width="12.5703125" style="3" customWidth="1"/>
    <col min="5" max="5" width="15.5703125" style="3" customWidth="1"/>
    <col min="6" max="6" width="12.42578125" style="3" customWidth="1"/>
    <col min="7" max="7" width="11.85546875" style="3" customWidth="1"/>
    <col min="8" max="8" width="9" style="3"/>
    <col min="9" max="9" width="10.5703125" style="3" customWidth="1"/>
    <col min="10" max="10" width="10.140625" style="3" customWidth="1"/>
    <col min="11" max="16384" width="9" style="3"/>
  </cols>
  <sheetData>
    <row r="1" spans="1:12" ht="15" customHeight="1" x14ac:dyDescent="0.25">
      <c r="A1" s="75" t="s">
        <v>26</v>
      </c>
      <c r="B1" s="75"/>
      <c r="C1" s="77" t="str">
        <f>IF(ISBLANK('Supervis@r'!$C$1),"",'Supervis@r'!$C$1)</f>
        <v>SERVICIOS OPERATIVOS</v>
      </c>
      <c r="D1" s="78"/>
      <c r="E1" s="78"/>
      <c r="F1" s="78"/>
      <c r="G1" s="78"/>
      <c r="H1" s="79"/>
      <c r="I1" s="60" t="s">
        <v>39</v>
      </c>
      <c r="J1" s="61"/>
    </row>
    <row r="2" spans="1:12" ht="15" customHeight="1" x14ac:dyDescent="0.25">
      <c r="A2" s="76" t="s">
        <v>22</v>
      </c>
      <c r="B2" s="76"/>
      <c r="C2" s="77" t="str">
        <f>IF(ISBLANK('Supervis@r'!$C$2),"",'Supervis@r'!$C$2)</f>
        <v>ENCARGADOS Y CAPATACES</v>
      </c>
      <c r="D2" s="78"/>
      <c r="E2" s="78"/>
      <c r="F2" s="78"/>
      <c r="G2" s="78"/>
      <c r="H2" s="79"/>
      <c r="I2" s="32">
        <f>'Supervis@r'!$I$2</f>
        <v>2025</v>
      </c>
      <c r="J2" s="32">
        <f>'Supervis@r'!$J$2</f>
        <v>2026</v>
      </c>
    </row>
    <row r="3" spans="1:12" ht="15.75" customHeight="1" x14ac:dyDescent="0.25">
      <c r="A3" s="76" t="s">
        <v>0</v>
      </c>
      <c r="B3" s="76"/>
      <c r="C3" s="77" t="str">
        <f>IF(ISBLANK('Supervis@r'!$C$3),"",CONCATENATE('Supervis@r'!$C$3," ",'Supervis@r'!$C$4,",",'Supervis@r'!$C$5))</f>
        <v>JEFE JEFE,JOSE</v>
      </c>
      <c r="D3" s="78"/>
      <c r="E3" s="78"/>
      <c r="F3" s="78"/>
      <c r="G3" s="78"/>
      <c r="H3" s="78"/>
      <c r="I3" s="78"/>
      <c r="J3" s="79"/>
    </row>
    <row r="4" spans="1:12" x14ac:dyDescent="0.25">
      <c r="B4" s="4"/>
    </row>
    <row r="5" spans="1:12" ht="16.5" customHeight="1" x14ac:dyDescent="0.25">
      <c r="A5" s="73" t="s">
        <v>11</v>
      </c>
      <c r="B5" s="73"/>
      <c r="C5" s="68"/>
      <c r="D5" s="68"/>
      <c r="E5" s="68"/>
      <c r="F5" s="18" t="s">
        <v>16</v>
      </c>
      <c r="G5" s="19"/>
      <c r="H5" s="18" t="s">
        <v>24</v>
      </c>
      <c r="I5" s="80" t="s">
        <v>23</v>
      </c>
      <c r="J5" s="80"/>
    </row>
    <row r="6" spans="1:12" ht="15.75" customHeight="1" x14ac:dyDescent="0.25">
      <c r="A6" s="73" t="s">
        <v>33</v>
      </c>
      <c r="B6" s="73"/>
      <c r="C6" s="68"/>
      <c r="D6" s="68"/>
      <c r="E6" s="68"/>
      <c r="F6" s="68"/>
      <c r="G6" s="68"/>
      <c r="H6" s="68"/>
      <c r="I6" s="68"/>
      <c r="J6" s="68"/>
    </row>
    <row r="7" spans="1:12" ht="15.75" customHeight="1" x14ac:dyDescent="0.25">
      <c r="A7" s="73" t="s">
        <v>34</v>
      </c>
      <c r="B7" s="73"/>
      <c r="C7" s="74"/>
      <c r="D7" s="74"/>
      <c r="E7" s="74"/>
      <c r="F7" s="74"/>
      <c r="G7" s="74"/>
      <c r="H7" s="74"/>
      <c r="I7" s="74"/>
      <c r="J7" s="74"/>
    </row>
    <row r="8" spans="1:12" ht="15.75" customHeight="1" x14ac:dyDescent="0.25">
      <c r="A8" s="73" t="s">
        <v>35</v>
      </c>
      <c r="B8" s="73"/>
      <c r="C8" s="74"/>
      <c r="D8" s="74"/>
      <c r="E8" s="74"/>
      <c r="F8" s="74"/>
      <c r="G8" s="74"/>
      <c r="H8" s="74"/>
      <c r="I8" s="74"/>
      <c r="J8" s="74"/>
    </row>
    <row r="9" spans="1:12" x14ac:dyDescent="0.25">
      <c r="C9" s="37"/>
      <c r="D9" s="37"/>
      <c r="E9" s="37"/>
      <c r="F9" s="37"/>
      <c r="G9" s="37"/>
      <c r="H9" s="37"/>
      <c r="I9" s="37"/>
      <c r="J9" s="37"/>
    </row>
    <row r="10" spans="1:12" s="5" customFormat="1" ht="33.75" x14ac:dyDescent="0.25">
      <c r="A10" s="18" t="s">
        <v>1</v>
      </c>
      <c r="B10" s="20" t="s">
        <v>4</v>
      </c>
      <c r="C10" s="20" t="s">
        <v>5</v>
      </c>
      <c r="D10" s="20" t="s">
        <v>6</v>
      </c>
      <c r="E10" s="20" t="s">
        <v>12</v>
      </c>
      <c r="F10" s="20" t="s">
        <v>7</v>
      </c>
      <c r="G10" s="20" t="s">
        <v>8</v>
      </c>
      <c r="H10" s="18" t="s">
        <v>3</v>
      </c>
      <c r="I10" s="10" t="s">
        <v>9</v>
      </c>
      <c r="J10" s="10" t="s">
        <v>28</v>
      </c>
    </row>
    <row r="11" spans="1:12" s="11" customFormat="1" ht="33.75" x14ac:dyDescent="0.25">
      <c r="A11" s="51">
        <f>IF(B11="","",COUNTA($B$11:B11))</f>
        <v>1</v>
      </c>
      <c r="B11" s="6" t="s">
        <v>27</v>
      </c>
      <c r="C11" s="7" t="s">
        <v>13</v>
      </c>
      <c r="D11" s="8">
        <v>0.2</v>
      </c>
      <c r="E11" s="7" t="s">
        <v>14</v>
      </c>
      <c r="F11" s="9">
        <v>15</v>
      </c>
      <c r="G11" s="9" t="s">
        <v>15</v>
      </c>
      <c r="H11" s="54">
        <v>25</v>
      </c>
      <c r="I11" s="33" t="str">
        <f t="shared" ref="I11:I15" si="0">IFERROR(IF(OR(A11="",F11=""),"",IF(AND(G11&lt;&gt;"Alza",G11&lt;&gt;"Baja"),"",IF(G11="Alza",IF(AND(H11&lt;&gt;"",H11&gt;=F11),"SÍ","NO"),IF(G11="Baja",IF(AND(H11&lt;&gt;"",H11&lt;=F11),"SÍ","NO"))))),"")</f>
        <v>SÍ</v>
      </c>
      <c r="J11" s="34">
        <f>IF(B11="","",IFERROR(IF(I11="SÍ",D11*100,0),""))</f>
        <v>20</v>
      </c>
      <c r="K11" s="5"/>
      <c r="L11" s="5"/>
    </row>
    <row r="12" spans="1:12" s="11" customFormat="1" ht="33.75" x14ac:dyDescent="0.25">
      <c r="A12" s="51">
        <f>IF(B12="","",COUNTA($B$11:B12))</f>
        <v>2</v>
      </c>
      <c r="B12" s="6" t="s">
        <v>18</v>
      </c>
      <c r="C12" s="7" t="s">
        <v>13</v>
      </c>
      <c r="D12" s="8">
        <v>0.2</v>
      </c>
      <c r="E12" s="7" t="s">
        <v>14</v>
      </c>
      <c r="F12" s="7">
        <v>1</v>
      </c>
      <c r="G12" s="9" t="s">
        <v>15</v>
      </c>
      <c r="H12" s="54">
        <v>1</v>
      </c>
      <c r="I12" s="33" t="str">
        <f t="shared" si="0"/>
        <v>SÍ</v>
      </c>
      <c r="J12" s="34">
        <f t="shared" ref="J12:J16" si="1">IF(B12="","",IFERROR(IF(I12="SÍ",D12*100,0),""))</f>
        <v>20</v>
      </c>
    </row>
    <row r="13" spans="1:12" s="11" customFormat="1" ht="56.25" x14ac:dyDescent="0.25">
      <c r="A13" s="51">
        <f>IF(B13="","",COUNTA($B$11:B13))</f>
        <v>3</v>
      </c>
      <c r="B13" s="6" t="s">
        <v>19</v>
      </c>
      <c r="C13" s="7" t="s">
        <v>13</v>
      </c>
      <c r="D13" s="8">
        <v>0.2</v>
      </c>
      <c r="E13" s="7" t="s">
        <v>14</v>
      </c>
      <c r="F13" s="7">
        <v>2</v>
      </c>
      <c r="G13" s="9" t="s">
        <v>15</v>
      </c>
      <c r="H13" s="54">
        <v>2</v>
      </c>
      <c r="I13" s="33" t="str">
        <f t="shared" si="0"/>
        <v>SÍ</v>
      </c>
      <c r="J13" s="34">
        <f t="shared" si="1"/>
        <v>20</v>
      </c>
    </row>
    <row r="14" spans="1:12" s="11" customFormat="1" ht="33.75" x14ac:dyDescent="0.25">
      <c r="A14" s="51">
        <f>IF(B14="","",COUNTA($B$11:B14))</f>
        <v>4</v>
      </c>
      <c r="B14" s="6" t="s">
        <v>20</v>
      </c>
      <c r="C14" s="7" t="s">
        <v>13</v>
      </c>
      <c r="D14" s="8">
        <v>0.12</v>
      </c>
      <c r="E14" s="7" t="s">
        <v>14</v>
      </c>
      <c r="F14" s="7">
        <v>1</v>
      </c>
      <c r="G14" s="9" t="s">
        <v>15</v>
      </c>
      <c r="H14" s="54">
        <v>1</v>
      </c>
      <c r="I14" s="33" t="str">
        <f t="shared" si="0"/>
        <v>SÍ</v>
      </c>
      <c r="J14" s="34">
        <f t="shared" si="1"/>
        <v>12</v>
      </c>
    </row>
    <row r="15" spans="1:12" s="11" customFormat="1" ht="45" x14ac:dyDescent="0.25">
      <c r="A15" s="51">
        <f>IF(B15="","",COUNTA($B$11:B15))</f>
        <v>5</v>
      </c>
      <c r="B15" s="6" t="s">
        <v>21</v>
      </c>
      <c r="C15" s="7" t="s">
        <v>13</v>
      </c>
      <c r="D15" s="8">
        <v>0.12</v>
      </c>
      <c r="E15" s="7" t="s">
        <v>14</v>
      </c>
      <c r="F15" s="7">
        <v>1</v>
      </c>
      <c r="G15" s="9" t="s">
        <v>15</v>
      </c>
      <c r="H15" s="54">
        <v>1</v>
      </c>
      <c r="I15" s="33" t="str">
        <f t="shared" si="0"/>
        <v>SÍ</v>
      </c>
      <c r="J15" s="34">
        <f t="shared" si="1"/>
        <v>12</v>
      </c>
    </row>
    <row r="16" spans="1:12" s="11" customFormat="1" ht="22.5" x14ac:dyDescent="0.25">
      <c r="A16" s="52">
        <f>IF(B16="","",COUNTA($B$11:B16))</f>
        <v>6</v>
      </c>
      <c r="B16" s="1" t="s">
        <v>49</v>
      </c>
      <c r="C16" s="21" t="s">
        <v>13</v>
      </c>
      <c r="D16" s="49">
        <f>IF(B16="","",16%)</f>
        <v>0.16</v>
      </c>
      <c r="E16" s="21" t="s">
        <v>46</v>
      </c>
      <c r="F16" s="55">
        <v>80</v>
      </c>
      <c r="G16" s="23" t="s">
        <v>15</v>
      </c>
      <c r="H16" s="55">
        <v>80</v>
      </c>
      <c r="I16" s="33" t="str">
        <f>IFERROR(IF(OR(A16="",F16=""),"",IF(AND(G16&lt;&gt;"Alza",G16&lt;&gt;"Baja"),"",IF(G16="Alza",IF(AND(H16&lt;&gt;"",H16&gt;=F16),"SÍ","NO"),IF(G16="Baja",IF(AND(H16&lt;&gt;"",H16&lt;=F16),"SÍ","NO"))))),"")</f>
        <v>SÍ</v>
      </c>
      <c r="J16" s="34">
        <f t="shared" si="1"/>
        <v>16</v>
      </c>
    </row>
    <row r="17" spans="1:10" ht="29.25" customHeight="1" x14ac:dyDescent="0.25">
      <c r="A17" s="24"/>
      <c r="B17" s="28"/>
      <c r="C17" s="27" t="s">
        <v>10</v>
      </c>
      <c r="D17" s="50">
        <f>SUM($D$11:$D$16)</f>
        <v>1</v>
      </c>
      <c r="E17" s="24"/>
      <c r="F17" s="25"/>
      <c r="G17" s="25"/>
      <c r="H17" s="28"/>
      <c r="I17" s="38" t="s">
        <v>2</v>
      </c>
      <c r="J17" s="36">
        <f>IF(D17&lt;&gt;1,0,SUM($J$11:$J$16))</f>
        <v>100</v>
      </c>
    </row>
    <row r="18" spans="1:10" x14ac:dyDescent="0.25">
      <c r="D18" s="37"/>
      <c r="J18" s="37"/>
    </row>
  </sheetData>
  <sheetProtection algorithmName="SHA-512" hashValue="+M0mvNW3zKVhhYNPvTtHdmuqTDD+zOFPCpShFC++bwzCstcc4vdmZ0Ko758Z+u5hXyCqGdnKMEY/9awlvrsjhg==" saltValue="ZPAuNX5/dCcuHUfDJOxxyg==" spinCount="100000" sheet="1" objects="1" scenarios="1"/>
  <mergeCells count="16">
    <mergeCell ref="A3:B3"/>
    <mergeCell ref="C3:J3"/>
    <mergeCell ref="A1:B1"/>
    <mergeCell ref="C1:H1"/>
    <mergeCell ref="I1:J1"/>
    <mergeCell ref="A2:B2"/>
    <mergeCell ref="C2:H2"/>
    <mergeCell ref="A8:B8"/>
    <mergeCell ref="C8:J8"/>
    <mergeCell ref="A5:B5"/>
    <mergeCell ref="C5:E5"/>
    <mergeCell ref="I5:J5"/>
    <mergeCell ref="A6:B6"/>
    <mergeCell ref="C6:J6"/>
    <mergeCell ref="A7:B7"/>
    <mergeCell ref="C7:J7"/>
  </mergeCells>
  <conditionalFormatting sqref="D17">
    <cfRule type="cellIs" dxfId="9" priority="2" operator="notEqual">
      <formula>1</formula>
    </cfRule>
  </conditionalFormatting>
  <conditionalFormatting sqref="J17">
    <cfRule type="expression" dxfId="8" priority="1">
      <formula>$D$16&lt;&gt;0.16</formula>
    </cfRule>
  </conditionalFormatting>
  <dataValidations count="5">
    <dataValidation type="list" allowBlank="1" showInputMessage="1" showErrorMessage="1" sqref="C11:C16">
      <formula1>"Individual,Colectivo"</formula1>
    </dataValidation>
    <dataValidation type="list" allowBlank="1" showInputMessage="1" showErrorMessage="1" sqref="K11">
      <formula1>"SÍ,NO"</formula1>
    </dataValidation>
    <dataValidation type="list" allowBlank="1" showInputMessage="1" showErrorMessage="1" sqref="G11:G16">
      <formula1>"Alza,Baja"</formula1>
    </dataValidation>
    <dataValidation type="list" allowBlank="1" showInputMessage="1" showErrorMessage="1" sqref="E11:E16">
      <formula1>"Número,Porcentaje"</formula1>
    </dataValidation>
    <dataValidation type="whole" allowBlank="1" showInputMessage="1" showErrorMessage="1" errorTitle="VALOR NO NUMÉRICO" error="Debes introducir un valor numérico." sqref="H11:H16 F16">
      <formula1>0</formula1>
      <formula2>1000000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2"/>
  <dimension ref="A1:L18"/>
  <sheetViews>
    <sheetView zoomScale="110" zoomScaleNormal="110" workbookViewId="0">
      <pane ySplit="8" topLeftCell="A9" activePane="bottomLeft" state="frozen"/>
      <selection activeCell="C6" sqref="C6:J6"/>
      <selection pane="bottomLeft" activeCell="C8" sqref="C8:J8"/>
    </sheetView>
  </sheetViews>
  <sheetFormatPr baseColWidth="10" defaultColWidth="9" defaultRowHeight="12" x14ac:dyDescent="0.25"/>
  <cols>
    <col min="1" max="1" width="2.5703125" style="3" customWidth="1"/>
    <col min="2" max="2" width="39.5703125" style="3" customWidth="1"/>
    <col min="3" max="3" width="17" style="3" bestFit="1" customWidth="1"/>
    <col min="4" max="4" width="12.5703125" style="3" customWidth="1"/>
    <col min="5" max="5" width="15.5703125" style="3" customWidth="1"/>
    <col min="6" max="6" width="12.42578125" style="3" customWidth="1"/>
    <col min="7" max="7" width="11.85546875" style="3" customWidth="1"/>
    <col min="8" max="8" width="9" style="3"/>
    <col min="9" max="9" width="10.5703125" style="3" customWidth="1"/>
    <col min="10" max="10" width="10.140625" style="3" customWidth="1"/>
    <col min="11" max="16384" width="9" style="3"/>
  </cols>
  <sheetData>
    <row r="1" spans="1:12" ht="15" customHeight="1" x14ac:dyDescent="0.25">
      <c r="A1" s="75" t="s">
        <v>26</v>
      </c>
      <c r="B1" s="75"/>
      <c r="C1" s="77" t="str">
        <f>IF(ISBLANK('Supervis@r'!$C$1),"",'Supervis@r'!$C$1)</f>
        <v>SERVICIOS OPERATIVOS</v>
      </c>
      <c r="D1" s="78"/>
      <c r="E1" s="78"/>
      <c r="F1" s="78"/>
      <c r="G1" s="78"/>
      <c r="H1" s="79"/>
      <c r="I1" s="60" t="s">
        <v>39</v>
      </c>
      <c r="J1" s="61"/>
    </row>
    <row r="2" spans="1:12" ht="15" customHeight="1" x14ac:dyDescent="0.25">
      <c r="A2" s="76" t="s">
        <v>22</v>
      </c>
      <c r="B2" s="76"/>
      <c r="C2" s="77" t="str">
        <f>IF(ISBLANK('Supervis@r'!$C$2),"",'Supervis@r'!$C$2)</f>
        <v>ENCARGADOS Y CAPATACES</v>
      </c>
      <c r="D2" s="78"/>
      <c r="E2" s="78"/>
      <c r="F2" s="78"/>
      <c r="G2" s="78"/>
      <c r="H2" s="79"/>
      <c r="I2" s="32">
        <f>'Supervis@r'!$I$2</f>
        <v>2025</v>
      </c>
      <c r="J2" s="32">
        <f>'Supervis@r'!$J$2</f>
        <v>2026</v>
      </c>
    </row>
    <row r="3" spans="1:12" ht="15.75" customHeight="1" x14ac:dyDescent="0.25">
      <c r="A3" s="76" t="s">
        <v>0</v>
      </c>
      <c r="B3" s="76"/>
      <c r="C3" s="77" t="str">
        <f>IF(ISBLANK('Supervis@r'!$C$3),"",CONCATENATE('Supervis@r'!$C$3," ",'Supervis@r'!$C$4,",",'Supervis@r'!$C$5))</f>
        <v>JEFE JEFE,JOSE</v>
      </c>
      <c r="D3" s="78"/>
      <c r="E3" s="78"/>
      <c r="F3" s="78"/>
      <c r="G3" s="78"/>
      <c r="H3" s="78"/>
      <c r="I3" s="78"/>
      <c r="J3" s="79"/>
    </row>
    <row r="4" spans="1:12" x14ac:dyDescent="0.25">
      <c r="B4" s="4"/>
    </row>
    <row r="5" spans="1:12" ht="16.5" customHeight="1" x14ac:dyDescent="0.25">
      <c r="A5" s="73" t="s">
        <v>11</v>
      </c>
      <c r="B5" s="73"/>
      <c r="C5" s="68"/>
      <c r="D5" s="68"/>
      <c r="E5" s="68"/>
      <c r="F5" s="18" t="s">
        <v>16</v>
      </c>
      <c r="G5" s="19"/>
      <c r="H5" s="18" t="s">
        <v>24</v>
      </c>
      <c r="I5" s="80" t="s">
        <v>23</v>
      </c>
      <c r="J5" s="80"/>
    </row>
    <row r="6" spans="1:12" ht="15.75" customHeight="1" x14ac:dyDescent="0.25">
      <c r="A6" s="73" t="s">
        <v>33</v>
      </c>
      <c r="B6" s="73"/>
      <c r="C6" s="68"/>
      <c r="D6" s="68"/>
      <c r="E6" s="68"/>
      <c r="F6" s="68"/>
      <c r="G6" s="68"/>
      <c r="H6" s="68"/>
      <c r="I6" s="68"/>
      <c r="J6" s="68"/>
    </row>
    <row r="7" spans="1:12" ht="15.75" customHeight="1" x14ac:dyDescent="0.25">
      <c r="A7" s="73" t="s">
        <v>34</v>
      </c>
      <c r="B7" s="73"/>
      <c r="C7" s="74"/>
      <c r="D7" s="74"/>
      <c r="E7" s="74"/>
      <c r="F7" s="74"/>
      <c r="G7" s="74"/>
      <c r="H7" s="74"/>
      <c r="I7" s="74"/>
      <c r="J7" s="74"/>
    </row>
    <row r="8" spans="1:12" ht="15.75" customHeight="1" x14ac:dyDescent="0.25">
      <c r="A8" s="73" t="s">
        <v>35</v>
      </c>
      <c r="B8" s="73"/>
      <c r="C8" s="74"/>
      <c r="D8" s="74"/>
      <c r="E8" s="74"/>
      <c r="F8" s="74"/>
      <c r="G8" s="74"/>
      <c r="H8" s="74"/>
      <c r="I8" s="74"/>
      <c r="J8" s="74"/>
    </row>
    <row r="9" spans="1:12" x14ac:dyDescent="0.25">
      <c r="C9" s="37"/>
      <c r="D9" s="37"/>
      <c r="E9" s="37"/>
      <c r="F9" s="37"/>
      <c r="G9" s="37"/>
      <c r="H9" s="37"/>
      <c r="I9" s="37"/>
      <c r="J9" s="37"/>
    </row>
    <row r="10" spans="1:12" s="5" customFormat="1" ht="33.75" x14ac:dyDescent="0.25">
      <c r="A10" s="18" t="s">
        <v>1</v>
      </c>
      <c r="B10" s="20" t="s">
        <v>4</v>
      </c>
      <c r="C10" s="20" t="s">
        <v>5</v>
      </c>
      <c r="D10" s="20" t="s">
        <v>6</v>
      </c>
      <c r="E10" s="20" t="s">
        <v>12</v>
      </c>
      <c r="F10" s="20" t="s">
        <v>7</v>
      </c>
      <c r="G10" s="20" t="s">
        <v>8</v>
      </c>
      <c r="H10" s="18" t="s">
        <v>3</v>
      </c>
      <c r="I10" s="10" t="s">
        <v>9</v>
      </c>
      <c r="J10" s="10" t="s">
        <v>28</v>
      </c>
    </row>
    <row r="11" spans="1:12" s="11" customFormat="1" ht="33.75" x14ac:dyDescent="0.25">
      <c r="A11" s="51">
        <f>IF(B11="","",COUNTA($B$11:B11))</f>
        <v>1</v>
      </c>
      <c r="B11" s="6" t="s">
        <v>27</v>
      </c>
      <c r="C11" s="7" t="s">
        <v>13</v>
      </c>
      <c r="D11" s="8">
        <v>0.2</v>
      </c>
      <c r="E11" s="7" t="s">
        <v>14</v>
      </c>
      <c r="F11" s="9">
        <v>15</v>
      </c>
      <c r="G11" s="9" t="s">
        <v>15</v>
      </c>
      <c r="H11" s="54">
        <v>15</v>
      </c>
      <c r="I11" s="33" t="str">
        <f t="shared" ref="I11:I15" si="0">IFERROR(IF(OR(A11="",F11=""),"",IF(AND(G11&lt;&gt;"Alza",G11&lt;&gt;"Baja"),"",IF(G11="Alza",IF(AND(H11&lt;&gt;"",H11&gt;=F11),"SÍ","NO"),IF(G11="Baja",IF(AND(H11&lt;&gt;"",H11&lt;=F11),"SÍ","NO"))))),"")</f>
        <v>SÍ</v>
      </c>
      <c r="J11" s="34">
        <f>IF(B11="","",IFERROR(IF(I11="SÍ",D11*100,0),""))</f>
        <v>20</v>
      </c>
      <c r="K11" s="5"/>
      <c r="L11" s="5"/>
    </row>
    <row r="12" spans="1:12" s="11" customFormat="1" ht="33.75" x14ac:dyDescent="0.25">
      <c r="A12" s="51">
        <f>IF(B12="","",COUNTA($B$11:B12))</f>
        <v>2</v>
      </c>
      <c r="B12" s="6" t="s">
        <v>18</v>
      </c>
      <c r="C12" s="7" t="s">
        <v>13</v>
      </c>
      <c r="D12" s="8">
        <v>0.2</v>
      </c>
      <c r="E12" s="7" t="s">
        <v>14</v>
      </c>
      <c r="F12" s="7">
        <v>1</v>
      </c>
      <c r="G12" s="9" t="s">
        <v>15</v>
      </c>
      <c r="H12" s="54">
        <v>1</v>
      </c>
      <c r="I12" s="33" t="str">
        <f t="shared" si="0"/>
        <v>SÍ</v>
      </c>
      <c r="J12" s="34">
        <f t="shared" ref="J12:J16" si="1">IF(B12="","",IFERROR(IF(I12="SÍ",D12*100,0),""))</f>
        <v>20</v>
      </c>
    </row>
    <row r="13" spans="1:12" s="11" customFormat="1" ht="56.25" x14ac:dyDescent="0.25">
      <c r="A13" s="51">
        <f>IF(B13="","",COUNTA($B$11:B13))</f>
        <v>3</v>
      </c>
      <c r="B13" s="6" t="s">
        <v>19</v>
      </c>
      <c r="C13" s="7" t="s">
        <v>13</v>
      </c>
      <c r="D13" s="8">
        <v>0.2</v>
      </c>
      <c r="E13" s="7" t="s">
        <v>14</v>
      </c>
      <c r="F13" s="7">
        <v>2</v>
      </c>
      <c r="G13" s="9" t="s">
        <v>15</v>
      </c>
      <c r="H13" s="54">
        <v>2</v>
      </c>
      <c r="I13" s="33" t="str">
        <f t="shared" si="0"/>
        <v>SÍ</v>
      </c>
      <c r="J13" s="34">
        <f t="shared" si="1"/>
        <v>20</v>
      </c>
    </row>
    <row r="14" spans="1:12" s="11" customFormat="1" ht="33.75" x14ac:dyDescent="0.25">
      <c r="A14" s="51">
        <f>IF(B14="","",COUNTA($B$11:B14))</f>
        <v>4</v>
      </c>
      <c r="B14" s="6" t="s">
        <v>20</v>
      </c>
      <c r="C14" s="7" t="s">
        <v>13</v>
      </c>
      <c r="D14" s="8">
        <v>0.12</v>
      </c>
      <c r="E14" s="7" t="s">
        <v>14</v>
      </c>
      <c r="F14" s="7">
        <v>1</v>
      </c>
      <c r="G14" s="9" t="s">
        <v>15</v>
      </c>
      <c r="H14" s="54">
        <v>1</v>
      </c>
      <c r="I14" s="33" t="str">
        <f t="shared" si="0"/>
        <v>SÍ</v>
      </c>
      <c r="J14" s="34">
        <f t="shared" si="1"/>
        <v>12</v>
      </c>
    </row>
    <row r="15" spans="1:12" s="11" customFormat="1" ht="45" x14ac:dyDescent="0.25">
      <c r="A15" s="51">
        <f>IF(B15="","",COUNTA($B$11:B15))</f>
        <v>5</v>
      </c>
      <c r="B15" s="6" t="s">
        <v>21</v>
      </c>
      <c r="C15" s="7" t="s">
        <v>13</v>
      </c>
      <c r="D15" s="8">
        <v>0.12</v>
      </c>
      <c r="E15" s="7" t="s">
        <v>14</v>
      </c>
      <c r="F15" s="7">
        <v>1</v>
      </c>
      <c r="G15" s="9" t="s">
        <v>15</v>
      </c>
      <c r="H15" s="54">
        <v>1</v>
      </c>
      <c r="I15" s="33" t="str">
        <f t="shared" si="0"/>
        <v>SÍ</v>
      </c>
      <c r="J15" s="34">
        <f t="shared" si="1"/>
        <v>12</v>
      </c>
    </row>
    <row r="16" spans="1:12" s="11" customFormat="1" ht="22.5" x14ac:dyDescent="0.25">
      <c r="A16" s="52">
        <f>IF(B16="","",COUNTA($B$11:B16))</f>
        <v>6</v>
      </c>
      <c r="B16" s="1" t="s">
        <v>49</v>
      </c>
      <c r="C16" s="21" t="s">
        <v>13</v>
      </c>
      <c r="D16" s="49">
        <f>IF(B16="","",16%)</f>
        <v>0.16</v>
      </c>
      <c r="E16" s="21" t="s">
        <v>46</v>
      </c>
      <c r="F16" s="55">
        <v>80</v>
      </c>
      <c r="G16" s="23" t="s">
        <v>15</v>
      </c>
      <c r="H16" s="55">
        <v>80</v>
      </c>
      <c r="I16" s="33" t="str">
        <f>IFERROR(IF(OR(A16="",F16=""),"",IF(AND(G16&lt;&gt;"Alza",G16&lt;&gt;"Baja"),"",IF(G16="Alza",IF(AND(H16&lt;&gt;"",H16&gt;=F16),"SÍ","NO"),IF(G16="Baja",IF(AND(H16&lt;&gt;"",H16&lt;=F16),"SÍ","NO"))))),"")</f>
        <v>SÍ</v>
      </c>
      <c r="J16" s="34">
        <f t="shared" si="1"/>
        <v>16</v>
      </c>
    </row>
    <row r="17" spans="1:10" ht="29.25" customHeight="1" x14ac:dyDescent="0.25">
      <c r="A17" s="24"/>
      <c r="B17" s="28"/>
      <c r="C17" s="27" t="s">
        <v>10</v>
      </c>
      <c r="D17" s="50">
        <f>SUM($D$11:$D$16)</f>
        <v>1</v>
      </c>
      <c r="E17" s="24"/>
      <c r="F17" s="25"/>
      <c r="G17" s="25"/>
      <c r="H17" s="28"/>
      <c r="I17" s="38" t="s">
        <v>2</v>
      </c>
      <c r="J17" s="36">
        <f>IF(D17&lt;&gt;1,0,SUM($J$11:$J$16))</f>
        <v>100</v>
      </c>
    </row>
    <row r="18" spans="1:10" x14ac:dyDescent="0.25">
      <c r="D18" s="37"/>
      <c r="J18" s="37"/>
    </row>
  </sheetData>
  <sheetProtection algorithmName="SHA-512" hashValue="2sDM8b7pvi5TnWSHGOKlzK8ApHz12L9u6rJPC86ZsqCcx5TM6TN8lr3fKJrF8qg81hab90cOZD+TndHD13hR4A==" saltValue="vNcWvWmSXe6FBKRLx2jiEg==" spinCount="100000" sheet="1" objects="1" scenarios="1"/>
  <mergeCells count="16">
    <mergeCell ref="A3:B3"/>
    <mergeCell ref="C3:J3"/>
    <mergeCell ref="A1:B1"/>
    <mergeCell ref="C1:H1"/>
    <mergeCell ref="I1:J1"/>
    <mergeCell ref="A2:B2"/>
    <mergeCell ref="C2:H2"/>
    <mergeCell ref="A8:B8"/>
    <mergeCell ref="C8:J8"/>
    <mergeCell ref="A5:B5"/>
    <mergeCell ref="C5:E5"/>
    <mergeCell ref="I5:J5"/>
    <mergeCell ref="A6:B6"/>
    <mergeCell ref="C6:J6"/>
    <mergeCell ref="A7:B7"/>
    <mergeCell ref="C7:J7"/>
  </mergeCells>
  <conditionalFormatting sqref="D17">
    <cfRule type="cellIs" dxfId="7" priority="2" operator="notEqual">
      <formula>1</formula>
    </cfRule>
  </conditionalFormatting>
  <conditionalFormatting sqref="J17">
    <cfRule type="expression" dxfId="6" priority="1">
      <formula>$D$16&lt;&gt;0.16</formula>
    </cfRule>
  </conditionalFormatting>
  <dataValidations count="5">
    <dataValidation type="list" allowBlank="1" showInputMessage="1" showErrorMessage="1" sqref="E11:E16">
      <formula1>"Número,Porcentaje"</formula1>
    </dataValidation>
    <dataValidation type="list" allowBlank="1" showInputMessage="1" showErrorMessage="1" sqref="G11:G16">
      <formula1>"Alza,Baja"</formula1>
    </dataValidation>
    <dataValidation type="list" allowBlank="1" showInputMessage="1" showErrorMessage="1" sqref="K11">
      <formula1>"SÍ,NO"</formula1>
    </dataValidation>
    <dataValidation type="list" allowBlank="1" showInputMessage="1" showErrorMessage="1" sqref="C11:C16">
      <formula1>"Individual,Colectivo"</formula1>
    </dataValidation>
    <dataValidation type="whole" allowBlank="1" showInputMessage="1" showErrorMessage="1" errorTitle="VALOR NO NUMÉRICO" error="Debes introducir un valor numérico." sqref="H11:H16 F16">
      <formula1>0</formula1>
      <formula2>1000000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3"/>
  <dimension ref="A1:L18"/>
  <sheetViews>
    <sheetView zoomScale="110" zoomScaleNormal="110" workbookViewId="0">
      <pane ySplit="8" topLeftCell="A9" activePane="bottomLeft" state="frozen"/>
      <selection activeCell="C6" sqref="C6:J6"/>
      <selection pane="bottomLeft" activeCell="C8" sqref="C8:J8"/>
    </sheetView>
  </sheetViews>
  <sheetFormatPr baseColWidth="10" defaultColWidth="9" defaultRowHeight="12" x14ac:dyDescent="0.25"/>
  <cols>
    <col min="1" max="1" width="2.5703125" style="3" customWidth="1"/>
    <col min="2" max="2" width="39.5703125" style="3" customWidth="1"/>
    <col min="3" max="3" width="17" style="3" bestFit="1" customWidth="1"/>
    <col min="4" max="4" width="12.5703125" style="3" customWidth="1"/>
    <col min="5" max="5" width="15.5703125" style="3" customWidth="1"/>
    <col min="6" max="6" width="12.42578125" style="3" customWidth="1"/>
    <col min="7" max="7" width="11.85546875" style="3" customWidth="1"/>
    <col min="8" max="8" width="9" style="3"/>
    <col min="9" max="9" width="10.5703125" style="3" customWidth="1"/>
    <col min="10" max="10" width="10.140625" style="3" customWidth="1"/>
    <col min="11" max="16384" width="9" style="3"/>
  </cols>
  <sheetData>
    <row r="1" spans="1:12" ht="15" customHeight="1" x14ac:dyDescent="0.25">
      <c r="A1" s="75" t="s">
        <v>26</v>
      </c>
      <c r="B1" s="75"/>
      <c r="C1" s="77" t="str">
        <f>IF(ISBLANK('Supervis@r'!$C$1),"",'Supervis@r'!$C$1)</f>
        <v>SERVICIOS OPERATIVOS</v>
      </c>
      <c r="D1" s="78"/>
      <c r="E1" s="78"/>
      <c r="F1" s="78"/>
      <c r="G1" s="78"/>
      <c r="H1" s="79"/>
      <c r="I1" s="60" t="s">
        <v>39</v>
      </c>
      <c r="J1" s="61"/>
    </row>
    <row r="2" spans="1:12" ht="15" customHeight="1" x14ac:dyDescent="0.25">
      <c r="A2" s="76" t="s">
        <v>22</v>
      </c>
      <c r="B2" s="76"/>
      <c r="C2" s="77" t="str">
        <f>IF(ISBLANK('Supervis@r'!$C$2),"",'Supervis@r'!$C$2)</f>
        <v>ENCARGADOS Y CAPATACES</v>
      </c>
      <c r="D2" s="78"/>
      <c r="E2" s="78"/>
      <c r="F2" s="78"/>
      <c r="G2" s="78"/>
      <c r="H2" s="79"/>
      <c r="I2" s="32">
        <f>'Supervis@r'!$I$2</f>
        <v>2025</v>
      </c>
      <c r="J2" s="32">
        <f>'Supervis@r'!$J$2</f>
        <v>2026</v>
      </c>
    </row>
    <row r="3" spans="1:12" ht="15.75" customHeight="1" x14ac:dyDescent="0.25">
      <c r="A3" s="76" t="s">
        <v>0</v>
      </c>
      <c r="B3" s="76"/>
      <c r="C3" s="77" t="str">
        <f>IF(ISBLANK('Supervis@r'!$C$3),"",CONCATENATE('Supervis@r'!$C$3," ",'Supervis@r'!$C$4,",",'Supervis@r'!$C$5))</f>
        <v>JEFE JEFE,JOSE</v>
      </c>
      <c r="D3" s="78"/>
      <c r="E3" s="78"/>
      <c r="F3" s="78"/>
      <c r="G3" s="78"/>
      <c r="H3" s="78"/>
      <c r="I3" s="78"/>
      <c r="J3" s="79"/>
    </row>
    <row r="4" spans="1:12" x14ac:dyDescent="0.25">
      <c r="B4" s="4"/>
    </row>
    <row r="5" spans="1:12" ht="16.5" customHeight="1" x14ac:dyDescent="0.25">
      <c r="A5" s="73" t="s">
        <v>11</v>
      </c>
      <c r="B5" s="73"/>
      <c r="C5" s="68"/>
      <c r="D5" s="68"/>
      <c r="E5" s="68"/>
      <c r="F5" s="18" t="s">
        <v>16</v>
      </c>
      <c r="G5" s="19"/>
      <c r="H5" s="18" t="s">
        <v>24</v>
      </c>
      <c r="I5" s="80" t="s">
        <v>23</v>
      </c>
      <c r="J5" s="80"/>
    </row>
    <row r="6" spans="1:12" ht="15.75" customHeight="1" x14ac:dyDescent="0.25">
      <c r="A6" s="73" t="s">
        <v>33</v>
      </c>
      <c r="B6" s="73"/>
      <c r="C6" s="68"/>
      <c r="D6" s="68"/>
      <c r="E6" s="68"/>
      <c r="F6" s="68"/>
      <c r="G6" s="68"/>
      <c r="H6" s="68"/>
      <c r="I6" s="68"/>
      <c r="J6" s="68"/>
    </row>
    <row r="7" spans="1:12" ht="15.75" customHeight="1" x14ac:dyDescent="0.25">
      <c r="A7" s="73" t="s">
        <v>34</v>
      </c>
      <c r="B7" s="73"/>
      <c r="C7" s="74"/>
      <c r="D7" s="74"/>
      <c r="E7" s="74"/>
      <c r="F7" s="74"/>
      <c r="G7" s="74"/>
      <c r="H7" s="74"/>
      <c r="I7" s="74"/>
      <c r="J7" s="74"/>
    </row>
    <row r="8" spans="1:12" ht="15.75" customHeight="1" x14ac:dyDescent="0.25">
      <c r="A8" s="73" t="s">
        <v>35</v>
      </c>
      <c r="B8" s="73"/>
      <c r="C8" s="74"/>
      <c r="D8" s="74"/>
      <c r="E8" s="74"/>
      <c r="F8" s="74"/>
      <c r="G8" s="74"/>
      <c r="H8" s="74"/>
      <c r="I8" s="74"/>
      <c r="J8" s="74"/>
    </row>
    <row r="9" spans="1:12" x14ac:dyDescent="0.25">
      <c r="C9" s="37"/>
      <c r="D9" s="37"/>
      <c r="E9" s="37"/>
      <c r="F9" s="37"/>
      <c r="G9" s="37"/>
      <c r="H9" s="37"/>
      <c r="I9" s="37"/>
      <c r="J9" s="37"/>
    </row>
    <row r="10" spans="1:12" s="5" customFormat="1" ht="33.75" x14ac:dyDescent="0.25">
      <c r="A10" s="18" t="s">
        <v>1</v>
      </c>
      <c r="B10" s="20" t="s">
        <v>4</v>
      </c>
      <c r="C10" s="20" t="s">
        <v>5</v>
      </c>
      <c r="D10" s="20" t="s">
        <v>6</v>
      </c>
      <c r="E10" s="20" t="s">
        <v>12</v>
      </c>
      <c r="F10" s="20" t="s">
        <v>7</v>
      </c>
      <c r="G10" s="20" t="s">
        <v>8</v>
      </c>
      <c r="H10" s="18" t="s">
        <v>3</v>
      </c>
      <c r="I10" s="10" t="s">
        <v>9</v>
      </c>
      <c r="J10" s="10" t="s">
        <v>28</v>
      </c>
    </row>
    <row r="11" spans="1:12" s="11" customFormat="1" ht="33.75" x14ac:dyDescent="0.25">
      <c r="A11" s="51">
        <f>IF(B11="","",COUNTA($B$11:B11))</f>
        <v>1</v>
      </c>
      <c r="B11" s="6" t="s">
        <v>27</v>
      </c>
      <c r="C11" s="7" t="s">
        <v>13</v>
      </c>
      <c r="D11" s="8">
        <v>0.2</v>
      </c>
      <c r="E11" s="7" t="s">
        <v>14</v>
      </c>
      <c r="F11" s="9">
        <v>15</v>
      </c>
      <c r="G11" s="9" t="s">
        <v>15</v>
      </c>
      <c r="H11" s="54">
        <v>35</v>
      </c>
      <c r="I11" s="33" t="str">
        <f t="shared" ref="I11:I15" si="0">IFERROR(IF(OR(A11="",F11=""),"",IF(AND(G11&lt;&gt;"Alza",G11&lt;&gt;"Baja"),"",IF(G11="Alza",IF(AND(H11&lt;&gt;"",H11&gt;=F11),"SÍ","NO"),IF(G11="Baja",IF(AND(H11&lt;&gt;"",H11&lt;=F11),"SÍ","NO"))))),"")</f>
        <v>SÍ</v>
      </c>
      <c r="J11" s="34">
        <f>IF(B11="","",IFERROR(IF(I11="SÍ",D11*100,0),""))</f>
        <v>20</v>
      </c>
      <c r="K11" s="5"/>
      <c r="L11" s="5"/>
    </row>
    <row r="12" spans="1:12" s="11" customFormat="1" ht="33.75" x14ac:dyDescent="0.25">
      <c r="A12" s="51">
        <f>IF(B12="","",COUNTA($B$11:B12))</f>
        <v>2</v>
      </c>
      <c r="B12" s="6" t="s">
        <v>18</v>
      </c>
      <c r="C12" s="7" t="s">
        <v>13</v>
      </c>
      <c r="D12" s="8">
        <v>0.2</v>
      </c>
      <c r="E12" s="7" t="s">
        <v>14</v>
      </c>
      <c r="F12" s="7">
        <v>1</v>
      </c>
      <c r="G12" s="9" t="s">
        <v>15</v>
      </c>
      <c r="H12" s="54">
        <v>1</v>
      </c>
      <c r="I12" s="33" t="str">
        <f t="shared" si="0"/>
        <v>SÍ</v>
      </c>
      <c r="J12" s="34">
        <f t="shared" ref="J12:J16" si="1">IF(B12="","",IFERROR(IF(I12="SÍ",D12*100,0),""))</f>
        <v>20</v>
      </c>
    </row>
    <row r="13" spans="1:12" s="11" customFormat="1" ht="56.25" x14ac:dyDescent="0.25">
      <c r="A13" s="51">
        <f>IF(B13="","",COUNTA($B$11:B13))</f>
        <v>3</v>
      </c>
      <c r="B13" s="6" t="s">
        <v>19</v>
      </c>
      <c r="C13" s="7" t="s">
        <v>13</v>
      </c>
      <c r="D13" s="8">
        <v>0.2</v>
      </c>
      <c r="E13" s="7" t="s">
        <v>14</v>
      </c>
      <c r="F13" s="7">
        <v>2</v>
      </c>
      <c r="G13" s="9" t="s">
        <v>15</v>
      </c>
      <c r="H13" s="54">
        <v>2</v>
      </c>
      <c r="I13" s="33" t="str">
        <f t="shared" si="0"/>
        <v>SÍ</v>
      </c>
      <c r="J13" s="34">
        <f t="shared" si="1"/>
        <v>20</v>
      </c>
    </row>
    <row r="14" spans="1:12" s="11" customFormat="1" ht="33.75" x14ac:dyDescent="0.25">
      <c r="A14" s="51">
        <f>IF(B14="","",COUNTA($B$11:B14))</f>
        <v>4</v>
      </c>
      <c r="B14" s="6" t="s">
        <v>20</v>
      </c>
      <c r="C14" s="7" t="s">
        <v>13</v>
      </c>
      <c r="D14" s="8">
        <v>0.12</v>
      </c>
      <c r="E14" s="7" t="s">
        <v>14</v>
      </c>
      <c r="F14" s="7">
        <v>1</v>
      </c>
      <c r="G14" s="9" t="s">
        <v>15</v>
      </c>
      <c r="H14" s="54">
        <v>1</v>
      </c>
      <c r="I14" s="33" t="str">
        <f t="shared" si="0"/>
        <v>SÍ</v>
      </c>
      <c r="J14" s="34">
        <f t="shared" si="1"/>
        <v>12</v>
      </c>
    </row>
    <row r="15" spans="1:12" s="11" customFormat="1" ht="45" x14ac:dyDescent="0.25">
      <c r="A15" s="51">
        <f>IF(B15="","",COUNTA($B$11:B15))</f>
        <v>5</v>
      </c>
      <c r="B15" s="6" t="s">
        <v>21</v>
      </c>
      <c r="C15" s="7" t="s">
        <v>13</v>
      </c>
      <c r="D15" s="8">
        <v>0.12</v>
      </c>
      <c r="E15" s="7" t="s">
        <v>14</v>
      </c>
      <c r="F15" s="7">
        <v>1</v>
      </c>
      <c r="G15" s="9" t="s">
        <v>15</v>
      </c>
      <c r="H15" s="54">
        <v>1</v>
      </c>
      <c r="I15" s="33" t="str">
        <f t="shared" si="0"/>
        <v>SÍ</v>
      </c>
      <c r="J15" s="34">
        <f t="shared" si="1"/>
        <v>12</v>
      </c>
    </row>
    <row r="16" spans="1:12" s="11" customFormat="1" ht="22.5" x14ac:dyDescent="0.25">
      <c r="A16" s="52">
        <f>IF(B16="","",COUNTA($B$11:B16))</f>
        <v>6</v>
      </c>
      <c r="B16" s="1" t="s">
        <v>49</v>
      </c>
      <c r="C16" s="21" t="s">
        <v>13</v>
      </c>
      <c r="D16" s="49">
        <f>IF(B16="","",16%)</f>
        <v>0.16</v>
      </c>
      <c r="E16" s="21" t="s">
        <v>46</v>
      </c>
      <c r="F16" s="55">
        <v>80</v>
      </c>
      <c r="G16" s="23" t="s">
        <v>15</v>
      </c>
      <c r="H16" s="55">
        <v>80</v>
      </c>
      <c r="I16" s="33" t="str">
        <f>IFERROR(IF(OR(A16="",F16=""),"",IF(AND(G16&lt;&gt;"Alza",G16&lt;&gt;"Baja"),"",IF(G16="Alza",IF(AND(H16&lt;&gt;"",H16&gt;=F16),"SÍ","NO"),IF(G16="Baja",IF(AND(H16&lt;&gt;"",H16&lt;=F16),"SÍ","NO"))))),"")</f>
        <v>SÍ</v>
      </c>
      <c r="J16" s="34">
        <f t="shared" si="1"/>
        <v>16</v>
      </c>
    </row>
    <row r="17" spans="1:10" ht="29.25" customHeight="1" x14ac:dyDescent="0.25">
      <c r="A17" s="24"/>
      <c r="B17" s="28"/>
      <c r="C17" s="27" t="s">
        <v>10</v>
      </c>
      <c r="D17" s="50">
        <f>SUM($D$11:$D$16)</f>
        <v>1</v>
      </c>
      <c r="E17" s="24"/>
      <c r="F17" s="25"/>
      <c r="G17" s="25"/>
      <c r="H17" s="28"/>
      <c r="I17" s="38" t="s">
        <v>2</v>
      </c>
      <c r="J17" s="36">
        <f>IF(D17&lt;&gt;1,0,SUM($J$11:$J$16))</f>
        <v>100</v>
      </c>
    </row>
    <row r="18" spans="1:10" x14ac:dyDescent="0.25">
      <c r="D18" s="37"/>
      <c r="J18" s="37"/>
    </row>
  </sheetData>
  <sheetProtection algorithmName="SHA-512" hashValue="jNr1vuQFTM4eVC3FeJ4EreffSiHjLpPlApqAPsrydm9fGSt+kOjrIoXiZbhoFw/iEwkWtZtCJ7tkLU1gISTrjw==" saltValue="+dgUUQ/tLUq+l6K2gZAIqw==" spinCount="100000" sheet="1" objects="1" scenarios="1"/>
  <mergeCells count="16">
    <mergeCell ref="A3:B3"/>
    <mergeCell ref="C3:J3"/>
    <mergeCell ref="A1:B1"/>
    <mergeCell ref="C1:H1"/>
    <mergeCell ref="I1:J1"/>
    <mergeCell ref="A2:B2"/>
    <mergeCell ref="C2:H2"/>
    <mergeCell ref="A8:B8"/>
    <mergeCell ref="C8:J8"/>
    <mergeCell ref="A5:B5"/>
    <mergeCell ref="C5:E5"/>
    <mergeCell ref="I5:J5"/>
    <mergeCell ref="A6:B6"/>
    <mergeCell ref="C6:J6"/>
    <mergeCell ref="A7:B7"/>
    <mergeCell ref="C7:J7"/>
  </mergeCells>
  <conditionalFormatting sqref="D17">
    <cfRule type="cellIs" dxfId="5" priority="2" operator="notEqual">
      <formula>1</formula>
    </cfRule>
  </conditionalFormatting>
  <conditionalFormatting sqref="J17">
    <cfRule type="expression" dxfId="4" priority="1">
      <formula>$D$16&lt;&gt;0.16</formula>
    </cfRule>
  </conditionalFormatting>
  <dataValidations count="5">
    <dataValidation type="list" allowBlank="1" showInputMessage="1" showErrorMessage="1" sqref="C11:C16">
      <formula1>"Individual,Colectivo"</formula1>
    </dataValidation>
    <dataValidation type="list" allowBlank="1" showInputMessage="1" showErrorMessage="1" sqref="K11">
      <formula1>"SÍ,NO"</formula1>
    </dataValidation>
    <dataValidation type="list" allowBlank="1" showInputMessage="1" showErrorMessage="1" sqref="G11:G16">
      <formula1>"Alza,Baja"</formula1>
    </dataValidation>
    <dataValidation type="list" allowBlank="1" showInputMessage="1" showErrorMessage="1" sqref="E11:E16">
      <formula1>"Número,Porcentaje"</formula1>
    </dataValidation>
    <dataValidation type="whole" allowBlank="1" showInputMessage="1" showErrorMessage="1" errorTitle="VALOR NO NUMÉRICO" error="Debes introducir un valor numérico." sqref="H11:H16 F16">
      <formula1>0</formula1>
      <formula2>1000000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4"/>
  <dimension ref="A1:L18"/>
  <sheetViews>
    <sheetView zoomScale="110" zoomScaleNormal="110" workbookViewId="0">
      <pane ySplit="8" topLeftCell="A9" activePane="bottomLeft" state="frozen"/>
      <selection activeCell="F12" sqref="F12"/>
      <selection pane="bottomLeft" activeCell="N14" sqref="N14"/>
    </sheetView>
  </sheetViews>
  <sheetFormatPr baseColWidth="10" defaultColWidth="9" defaultRowHeight="12" x14ac:dyDescent="0.25"/>
  <cols>
    <col min="1" max="1" width="2.5703125" style="3" customWidth="1"/>
    <col min="2" max="2" width="39.5703125" style="3" customWidth="1"/>
    <col min="3" max="3" width="17" style="3" bestFit="1" customWidth="1"/>
    <col min="4" max="4" width="12.5703125" style="3" customWidth="1"/>
    <col min="5" max="5" width="15.5703125" style="3" customWidth="1"/>
    <col min="6" max="6" width="12.42578125" style="3" customWidth="1"/>
    <col min="7" max="7" width="11.85546875" style="3" customWidth="1"/>
    <col min="8" max="8" width="9" style="3"/>
    <col min="9" max="9" width="10.5703125" style="3" customWidth="1"/>
    <col min="10" max="10" width="10.140625" style="3" customWidth="1"/>
    <col min="11" max="16384" width="9" style="3"/>
  </cols>
  <sheetData>
    <row r="1" spans="1:12" ht="15" customHeight="1" x14ac:dyDescent="0.25">
      <c r="A1" s="75" t="s">
        <v>26</v>
      </c>
      <c r="B1" s="75"/>
      <c r="C1" s="77" t="str">
        <f>IF(ISBLANK('Supervis@r'!$C$1),"",'Supervis@r'!$C$1)</f>
        <v>SERVICIOS OPERATIVOS</v>
      </c>
      <c r="D1" s="78"/>
      <c r="E1" s="78"/>
      <c r="F1" s="78"/>
      <c r="G1" s="78"/>
      <c r="H1" s="79"/>
      <c r="I1" s="60" t="s">
        <v>39</v>
      </c>
      <c r="J1" s="61"/>
    </row>
    <row r="2" spans="1:12" ht="15" customHeight="1" x14ac:dyDescent="0.25">
      <c r="A2" s="76" t="s">
        <v>22</v>
      </c>
      <c r="B2" s="76"/>
      <c r="C2" s="77" t="str">
        <f>IF(ISBLANK('Supervis@r'!$C$2),"",'Supervis@r'!$C$2)</f>
        <v>ENCARGADOS Y CAPATACES</v>
      </c>
      <c r="D2" s="78"/>
      <c r="E2" s="78"/>
      <c r="F2" s="78"/>
      <c r="G2" s="78"/>
      <c r="H2" s="79"/>
      <c r="I2" s="32">
        <f>'Supervis@r'!$I$2</f>
        <v>2025</v>
      </c>
      <c r="J2" s="32">
        <f>'Supervis@r'!$J$2</f>
        <v>2026</v>
      </c>
    </row>
    <row r="3" spans="1:12" ht="15.75" customHeight="1" x14ac:dyDescent="0.25">
      <c r="A3" s="76" t="s">
        <v>0</v>
      </c>
      <c r="B3" s="76"/>
      <c r="C3" s="77" t="str">
        <f>IF(ISBLANK('Supervis@r'!$C$3),"",CONCATENATE('Supervis@r'!$C$3," ",'Supervis@r'!$C$4,",",'Supervis@r'!$C$5))</f>
        <v>JEFE JEFE,JOSE</v>
      </c>
      <c r="D3" s="78"/>
      <c r="E3" s="78"/>
      <c r="F3" s="78"/>
      <c r="G3" s="78"/>
      <c r="H3" s="78"/>
      <c r="I3" s="78"/>
      <c r="J3" s="79"/>
    </row>
    <row r="4" spans="1:12" x14ac:dyDescent="0.25">
      <c r="B4" s="4"/>
    </row>
    <row r="5" spans="1:12" ht="16.5" customHeight="1" x14ac:dyDescent="0.25">
      <c r="A5" s="73" t="s">
        <v>11</v>
      </c>
      <c r="B5" s="73"/>
      <c r="C5" s="68"/>
      <c r="D5" s="68"/>
      <c r="E5" s="68"/>
      <c r="F5" s="18" t="s">
        <v>16</v>
      </c>
      <c r="G5" s="19"/>
      <c r="H5" s="18" t="s">
        <v>24</v>
      </c>
      <c r="I5" s="80" t="s">
        <v>23</v>
      </c>
      <c r="J5" s="80"/>
    </row>
    <row r="6" spans="1:12" ht="15.75" customHeight="1" x14ac:dyDescent="0.25">
      <c r="A6" s="73" t="s">
        <v>33</v>
      </c>
      <c r="B6" s="73"/>
      <c r="C6" s="68"/>
      <c r="D6" s="68"/>
      <c r="E6" s="68"/>
      <c r="F6" s="68"/>
      <c r="G6" s="68"/>
      <c r="H6" s="68"/>
      <c r="I6" s="68"/>
      <c r="J6" s="68"/>
    </row>
    <row r="7" spans="1:12" ht="15.75" customHeight="1" x14ac:dyDescent="0.25">
      <c r="A7" s="73" t="s">
        <v>34</v>
      </c>
      <c r="B7" s="73"/>
      <c r="C7" s="74"/>
      <c r="D7" s="74"/>
      <c r="E7" s="74"/>
      <c r="F7" s="74"/>
      <c r="G7" s="74"/>
      <c r="H7" s="74"/>
      <c r="I7" s="74"/>
      <c r="J7" s="74"/>
    </row>
    <row r="8" spans="1:12" ht="15.75" customHeight="1" x14ac:dyDescent="0.25">
      <c r="A8" s="73" t="s">
        <v>35</v>
      </c>
      <c r="B8" s="73"/>
      <c r="C8" s="74"/>
      <c r="D8" s="74"/>
      <c r="E8" s="74"/>
      <c r="F8" s="74"/>
      <c r="G8" s="74"/>
      <c r="H8" s="74"/>
      <c r="I8" s="74"/>
      <c r="J8" s="74"/>
    </row>
    <row r="9" spans="1:12" x14ac:dyDescent="0.25">
      <c r="C9" s="37"/>
      <c r="D9" s="37"/>
      <c r="E9" s="37"/>
      <c r="F9" s="37"/>
      <c r="G9" s="37"/>
      <c r="H9" s="37"/>
      <c r="I9" s="37"/>
      <c r="J9" s="37"/>
    </row>
    <row r="10" spans="1:12" s="5" customFormat="1" ht="33.75" x14ac:dyDescent="0.25">
      <c r="A10" s="18" t="s">
        <v>1</v>
      </c>
      <c r="B10" s="20" t="s">
        <v>4</v>
      </c>
      <c r="C10" s="20" t="s">
        <v>5</v>
      </c>
      <c r="D10" s="20" t="s">
        <v>6</v>
      </c>
      <c r="E10" s="20" t="s">
        <v>12</v>
      </c>
      <c r="F10" s="20" t="s">
        <v>7</v>
      </c>
      <c r="G10" s="20" t="s">
        <v>8</v>
      </c>
      <c r="H10" s="18" t="s">
        <v>3</v>
      </c>
      <c r="I10" s="10" t="s">
        <v>9</v>
      </c>
      <c r="J10" s="10" t="s">
        <v>28</v>
      </c>
    </row>
    <row r="11" spans="1:12" s="11" customFormat="1" ht="33.75" x14ac:dyDescent="0.25">
      <c r="A11" s="51">
        <f>IF(B11="","",COUNTA($B$11:B11))</f>
        <v>1</v>
      </c>
      <c r="B11" s="6" t="s">
        <v>27</v>
      </c>
      <c r="C11" s="7" t="s">
        <v>13</v>
      </c>
      <c r="D11" s="8">
        <v>0.2</v>
      </c>
      <c r="E11" s="7" t="s">
        <v>14</v>
      </c>
      <c r="F11" s="9">
        <v>15</v>
      </c>
      <c r="G11" s="9" t="s">
        <v>15</v>
      </c>
      <c r="H11" s="54"/>
      <c r="I11" s="33" t="str">
        <f t="shared" ref="I11:I15" si="0">IFERROR(IF(OR(A11="",F11=""),"",IF(AND(G11&lt;&gt;"Alza",G11&lt;&gt;"Baja"),"",IF(G11="Alza",IF(AND(H11&lt;&gt;"",H11&gt;=F11),"SÍ","NO"),IF(G11="Baja",IF(AND(H11&lt;&gt;"",H11&lt;=F11),"SÍ","NO"))))),"")</f>
        <v>NO</v>
      </c>
      <c r="J11" s="34">
        <f>IF(B11="","",IFERROR(IF(I11="SÍ",D11*100,0),""))</f>
        <v>0</v>
      </c>
      <c r="K11" s="5"/>
      <c r="L11" s="5"/>
    </row>
    <row r="12" spans="1:12" s="11" customFormat="1" ht="33.75" x14ac:dyDescent="0.25">
      <c r="A12" s="51">
        <f>IF(B12="","",COUNTA($B$11:B12))</f>
        <v>2</v>
      </c>
      <c r="B12" s="6" t="s">
        <v>18</v>
      </c>
      <c r="C12" s="7" t="s">
        <v>13</v>
      </c>
      <c r="D12" s="8">
        <v>0.2</v>
      </c>
      <c r="E12" s="7" t="s">
        <v>14</v>
      </c>
      <c r="F12" s="7">
        <v>1</v>
      </c>
      <c r="G12" s="9" t="s">
        <v>15</v>
      </c>
      <c r="H12" s="54"/>
      <c r="I12" s="33" t="str">
        <f t="shared" si="0"/>
        <v>NO</v>
      </c>
      <c r="J12" s="34">
        <f t="shared" ref="J12:J16" si="1">IF(B12="","",IFERROR(IF(I12="SÍ",D12*100,0),""))</f>
        <v>0</v>
      </c>
    </row>
    <row r="13" spans="1:12" s="11" customFormat="1" ht="56.25" x14ac:dyDescent="0.25">
      <c r="A13" s="51">
        <f>IF(B13="","",COUNTA($B$11:B13))</f>
        <v>3</v>
      </c>
      <c r="B13" s="6" t="s">
        <v>19</v>
      </c>
      <c r="C13" s="7" t="s">
        <v>13</v>
      </c>
      <c r="D13" s="8">
        <v>0.2</v>
      </c>
      <c r="E13" s="7" t="s">
        <v>14</v>
      </c>
      <c r="F13" s="7">
        <v>2</v>
      </c>
      <c r="G13" s="9" t="s">
        <v>15</v>
      </c>
      <c r="H13" s="54"/>
      <c r="I13" s="33" t="str">
        <f t="shared" si="0"/>
        <v>NO</v>
      </c>
      <c r="J13" s="34">
        <f t="shared" si="1"/>
        <v>0</v>
      </c>
    </row>
    <row r="14" spans="1:12" s="11" customFormat="1" ht="33.75" x14ac:dyDescent="0.25">
      <c r="A14" s="51">
        <f>IF(B14="","",COUNTA($B$11:B14))</f>
        <v>4</v>
      </c>
      <c r="B14" s="6" t="s">
        <v>20</v>
      </c>
      <c r="C14" s="7" t="s">
        <v>13</v>
      </c>
      <c r="D14" s="8">
        <v>0.12</v>
      </c>
      <c r="E14" s="7" t="s">
        <v>14</v>
      </c>
      <c r="F14" s="7">
        <v>1</v>
      </c>
      <c r="G14" s="9" t="s">
        <v>15</v>
      </c>
      <c r="H14" s="54"/>
      <c r="I14" s="33" t="str">
        <f t="shared" si="0"/>
        <v>NO</v>
      </c>
      <c r="J14" s="34">
        <f t="shared" si="1"/>
        <v>0</v>
      </c>
    </row>
    <row r="15" spans="1:12" s="11" customFormat="1" ht="45" x14ac:dyDescent="0.25">
      <c r="A15" s="51">
        <f>IF(B15="","",COUNTA($B$11:B15))</f>
        <v>5</v>
      </c>
      <c r="B15" s="6" t="s">
        <v>21</v>
      </c>
      <c r="C15" s="7" t="s">
        <v>13</v>
      </c>
      <c r="D15" s="8">
        <v>0.12</v>
      </c>
      <c r="E15" s="7" t="s">
        <v>14</v>
      </c>
      <c r="F15" s="7">
        <v>1</v>
      </c>
      <c r="G15" s="9" t="s">
        <v>15</v>
      </c>
      <c r="H15" s="54"/>
      <c r="I15" s="33" t="str">
        <f t="shared" si="0"/>
        <v>NO</v>
      </c>
      <c r="J15" s="34">
        <f t="shared" si="1"/>
        <v>0</v>
      </c>
    </row>
    <row r="16" spans="1:12" s="11" customFormat="1" ht="11.25" x14ac:dyDescent="0.25">
      <c r="A16" s="52">
        <f>IF(B16="","",COUNTA($B$11:B16))</f>
        <v>6</v>
      </c>
      <c r="B16" s="1" t="s">
        <v>40</v>
      </c>
      <c r="C16" s="2"/>
      <c r="D16" s="49">
        <f>IF(B16="","",16%)</f>
        <v>0.16</v>
      </c>
      <c r="E16" s="21"/>
      <c r="F16" s="55"/>
      <c r="G16" s="23"/>
      <c r="H16" s="55"/>
      <c r="I16" s="33" t="str">
        <f>IFERROR(IF(OR(A16="",F16=""),"",IF(AND(G16&lt;&gt;"Alza",G16&lt;&gt;"Baja"),"",IF(G16="Alza",IF(AND(H16&lt;&gt;"",H16&gt;=F16),"SÍ","NO"),IF(G16="Baja",IF(AND(H16&lt;&gt;"",H16&lt;=F16),"SÍ","NO"))))),"")</f>
        <v/>
      </c>
      <c r="J16" s="34">
        <f t="shared" si="1"/>
        <v>0</v>
      </c>
    </row>
    <row r="17" spans="1:10" ht="29.25" customHeight="1" x14ac:dyDescent="0.25">
      <c r="A17" s="24"/>
      <c r="B17" s="28"/>
      <c r="C17" s="27" t="s">
        <v>10</v>
      </c>
      <c r="D17" s="50">
        <f>SUM($D$11:$D$16)</f>
        <v>1</v>
      </c>
      <c r="E17" s="24"/>
      <c r="F17" s="25"/>
      <c r="G17" s="25"/>
      <c r="H17" s="28"/>
      <c r="I17" s="38" t="s">
        <v>2</v>
      </c>
      <c r="J17" s="36">
        <f>IF(D17&lt;&gt;1,0,SUM($J$11:$J$16))</f>
        <v>0</v>
      </c>
    </row>
    <row r="18" spans="1:10" x14ac:dyDescent="0.25">
      <c r="D18" s="37"/>
      <c r="J18" s="37"/>
    </row>
  </sheetData>
  <sheetProtection algorithmName="SHA-512" hashValue="wik5K36AMO6w30H1ppKPzs4bUfA1Y/MXBaNinMGnYN/6qvab76kC1eJ1TBqXvXEh+bJPMw2iNjAwMdoHHJ7T0w==" saltValue="1ksiPnuKXFidIrXVN3uzyQ==" spinCount="100000" sheet="1" objects="1" scenarios="1"/>
  <mergeCells count="16">
    <mergeCell ref="A3:B3"/>
    <mergeCell ref="C3:J3"/>
    <mergeCell ref="A1:B1"/>
    <mergeCell ref="C1:H1"/>
    <mergeCell ref="I1:J1"/>
    <mergeCell ref="A2:B2"/>
    <mergeCell ref="C2:H2"/>
    <mergeCell ref="A8:B8"/>
    <mergeCell ref="C8:J8"/>
    <mergeCell ref="A5:B5"/>
    <mergeCell ref="C5:E5"/>
    <mergeCell ref="I5:J5"/>
    <mergeCell ref="A6:B6"/>
    <mergeCell ref="C6:J6"/>
    <mergeCell ref="A7:B7"/>
    <mergeCell ref="C7:J7"/>
  </mergeCells>
  <conditionalFormatting sqref="D17">
    <cfRule type="cellIs" dxfId="3" priority="2" operator="notEqual">
      <formula>1</formula>
    </cfRule>
  </conditionalFormatting>
  <conditionalFormatting sqref="J17">
    <cfRule type="expression" dxfId="2" priority="1">
      <formula>$D$16&lt;&gt;0.16</formula>
    </cfRule>
  </conditionalFormatting>
  <dataValidations disablePrompts="1" count="5">
    <dataValidation type="list" allowBlank="1" showInputMessage="1" showErrorMessage="1" sqref="E11:E16">
      <formula1>"Número,Porcentaje"</formula1>
    </dataValidation>
    <dataValidation type="list" allowBlank="1" showInputMessage="1" showErrorMessage="1" sqref="G11:G16">
      <formula1>"Alza,Baja"</formula1>
    </dataValidation>
    <dataValidation type="list" allowBlank="1" showInputMessage="1" showErrorMessage="1" sqref="K11">
      <formula1>"SÍ,NO"</formula1>
    </dataValidation>
    <dataValidation type="list" allowBlank="1" showInputMessage="1" showErrorMessage="1" sqref="C11:C16">
      <formula1>"Individual,Colectivo"</formula1>
    </dataValidation>
    <dataValidation type="whole" allowBlank="1" showInputMessage="1" showErrorMessage="1" errorTitle="VALOR NO NUMÉRICO" error="Debes introducir un valor numérico." sqref="H11:H16 F16">
      <formula1>0</formula1>
      <formula2>1000000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5"/>
  <dimension ref="A1:L18"/>
  <sheetViews>
    <sheetView zoomScale="110" zoomScaleNormal="110" workbookViewId="0">
      <pane ySplit="8" topLeftCell="A9" activePane="bottomLeft" state="frozen"/>
      <selection activeCell="K1" sqref="K1"/>
      <selection pane="bottomLeft" activeCell="K1" sqref="K1"/>
    </sheetView>
  </sheetViews>
  <sheetFormatPr baseColWidth="10" defaultColWidth="9" defaultRowHeight="12" x14ac:dyDescent="0.25"/>
  <cols>
    <col min="1" max="1" width="2.5703125" style="3" customWidth="1"/>
    <col min="2" max="2" width="39.5703125" style="3" customWidth="1"/>
    <col min="3" max="3" width="17" style="3" bestFit="1" customWidth="1"/>
    <col min="4" max="4" width="12.5703125" style="3" customWidth="1"/>
    <col min="5" max="5" width="15.5703125" style="3" customWidth="1"/>
    <col min="6" max="6" width="12.42578125" style="3" customWidth="1"/>
    <col min="7" max="7" width="11.85546875" style="3" customWidth="1"/>
    <col min="8" max="8" width="9" style="3"/>
    <col min="9" max="9" width="10.5703125" style="3" customWidth="1"/>
    <col min="10" max="10" width="10.140625" style="3" customWidth="1"/>
    <col min="11" max="16384" width="9" style="3"/>
  </cols>
  <sheetData>
    <row r="1" spans="1:12" ht="15" customHeight="1" x14ac:dyDescent="0.25">
      <c r="A1" s="75" t="s">
        <v>26</v>
      </c>
      <c r="B1" s="75"/>
      <c r="C1" s="77" t="str">
        <f>IF(ISBLANK('Supervis@r'!$C$1),"",'Supervis@r'!$C$1)</f>
        <v>SERVICIOS OPERATIVOS</v>
      </c>
      <c r="D1" s="78"/>
      <c r="E1" s="78"/>
      <c r="F1" s="78"/>
      <c r="G1" s="78"/>
      <c r="H1" s="79"/>
      <c r="I1" s="60" t="s">
        <v>39</v>
      </c>
      <c r="J1" s="61"/>
    </row>
    <row r="2" spans="1:12" ht="15" customHeight="1" x14ac:dyDescent="0.25">
      <c r="A2" s="76" t="s">
        <v>22</v>
      </c>
      <c r="B2" s="76"/>
      <c r="C2" s="77" t="str">
        <f>IF(ISBLANK('Supervis@r'!$C$2),"",'Supervis@r'!$C$2)</f>
        <v>ENCARGADOS Y CAPATACES</v>
      </c>
      <c r="D2" s="78"/>
      <c r="E2" s="78"/>
      <c r="F2" s="78"/>
      <c r="G2" s="78"/>
      <c r="H2" s="79"/>
      <c r="I2" s="32">
        <f>'Supervis@r'!$I$2</f>
        <v>2025</v>
      </c>
      <c r="J2" s="32">
        <f>'Supervis@r'!$J$2</f>
        <v>2026</v>
      </c>
    </row>
    <row r="3" spans="1:12" ht="15.75" customHeight="1" x14ac:dyDescent="0.25">
      <c r="A3" s="76" t="s">
        <v>0</v>
      </c>
      <c r="B3" s="76"/>
      <c r="C3" s="77" t="str">
        <f>IF(ISBLANK('Supervis@r'!$C$3),"",CONCATENATE('Supervis@r'!$C$3," ",'Supervis@r'!$C$4,",",'Supervis@r'!$C$5))</f>
        <v>JEFE JEFE,JOSE</v>
      </c>
      <c r="D3" s="78"/>
      <c r="E3" s="78"/>
      <c r="F3" s="78"/>
      <c r="G3" s="78"/>
      <c r="H3" s="78"/>
      <c r="I3" s="78"/>
      <c r="J3" s="79"/>
    </row>
    <row r="4" spans="1:12" x14ac:dyDescent="0.25">
      <c r="B4" s="4"/>
    </row>
    <row r="5" spans="1:12" ht="16.5" customHeight="1" x14ac:dyDescent="0.25">
      <c r="A5" s="73" t="s">
        <v>11</v>
      </c>
      <c r="B5" s="73"/>
      <c r="C5" s="68"/>
      <c r="D5" s="68"/>
      <c r="E5" s="68"/>
      <c r="F5" s="18" t="s">
        <v>16</v>
      </c>
      <c r="G5" s="19"/>
      <c r="H5" s="18" t="s">
        <v>24</v>
      </c>
      <c r="I5" s="80" t="s">
        <v>23</v>
      </c>
      <c r="J5" s="80"/>
    </row>
    <row r="6" spans="1:12" ht="15.75" customHeight="1" x14ac:dyDescent="0.25">
      <c r="A6" s="73" t="s">
        <v>33</v>
      </c>
      <c r="B6" s="73"/>
      <c r="C6" s="68"/>
      <c r="D6" s="68"/>
      <c r="E6" s="68"/>
      <c r="F6" s="68"/>
      <c r="G6" s="68"/>
      <c r="H6" s="68"/>
      <c r="I6" s="68"/>
      <c r="J6" s="68"/>
    </row>
    <row r="7" spans="1:12" ht="15.75" customHeight="1" x14ac:dyDescent="0.25">
      <c r="A7" s="73" t="s">
        <v>34</v>
      </c>
      <c r="B7" s="73"/>
      <c r="C7" s="74"/>
      <c r="D7" s="74"/>
      <c r="E7" s="74"/>
      <c r="F7" s="74"/>
      <c r="G7" s="74"/>
      <c r="H7" s="74"/>
      <c r="I7" s="74"/>
      <c r="J7" s="74"/>
    </row>
    <row r="8" spans="1:12" ht="15.75" customHeight="1" x14ac:dyDescent="0.25">
      <c r="A8" s="73" t="s">
        <v>35</v>
      </c>
      <c r="B8" s="73"/>
      <c r="C8" s="74"/>
      <c r="D8" s="74"/>
      <c r="E8" s="74"/>
      <c r="F8" s="74"/>
      <c r="G8" s="74"/>
      <c r="H8" s="74"/>
      <c r="I8" s="74"/>
      <c r="J8" s="74"/>
    </row>
    <row r="9" spans="1:12" x14ac:dyDescent="0.25">
      <c r="C9" s="37"/>
      <c r="D9" s="37"/>
      <c r="E9" s="37"/>
      <c r="F9" s="37"/>
      <c r="G9" s="37"/>
      <c r="H9" s="37"/>
      <c r="I9" s="37"/>
      <c r="J9" s="37"/>
    </row>
    <row r="10" spans="1:12" s="5" customFormat="1" ht="33.75" x14ac:dyDescent="0.25">
      <c r="A10" s="18" t="s">
        <v>1</v>
      </c>
      <c r="B10" s="20" t="s">
        <v>4</v>
      </c>
      <c r="C10" s="20" t="s">
        <v>5</v>
      </c>
      <c r="D10" s="20" t="s">
        <v>6</v>
      </c>
      <c r="E10" s="20" t="s">
        <v>12</v>
      </c>
      <c r="F10" s="20" t="s">
        <v>7</v>
      </c>
      <c r="G10" s="20" t="s">
        <v>8</v>
      </c>
      <c r="H10" s="18" t="s">
        <v>3</v>
      </c>
      <c r="I10" s="10" t="s">
        <v>9</v>
      </c>
      <c r="J10" s="10" t="s">
        <v>28</v>
      </c>
    </row>
    <row r="11" spans="1:12" s="11" customFormat="1" ht="33.75" x14ac:dyDescent="0.25">
      <c r="A11" s="51">
        <f>IF(B11="","",COUNTA($B$11:B11))</f>
        <v>1</v>
      </c>
      <c r="B11" s="6" t="s">
        <v>27</v>
      </c>
      <c r="C11" s="7" t="s">
        <v>13</v>
      </c>
      <c r="D11" s="8">
        <v>0.2</v>
      </c>
      <c r="E11" s="7" t="s">
        <v>14</v>
      </c>
      <c r="F11" s="9">
        <v>15</v>
      </c>
      <c r="G11" s="9" t="s">
        <v>15</v>
      </c>
      <c r="H11" s="54"/>
      <c r="I11" s="33" t="str">
        <f t="shared" ref="I11:I15" si="0">IFERROR(IF(OR(A11="",F11=""),"",IF(AND(G11&lt;&gt;"Alza",G11&lt;&gt;"Baja"),"",IF(G11="Alza",IF(AND(H11&lt;&gt;"",H11&gt;=F11),"SÍ","NO"),IF(G11="Baja",IF(AND(H11&lt;&gt;"",H11&lt;=F11),"SÍ","NO"))))),"")</f>
        <v>NO</v>
      </c>
      <c r="J11" s="34">
        <f>IF(B11="","",IFERROR(IF(I11="SÍ",D11*100,0),""))</f>
        <v>0</v>
      </c>
      <c r="K11" s="5"/>
      <c r="L11" s="5"/>
    </row>
    <row r="12" spans="1:12" s="11" customFormat="1" ht="33.75" x14ac:dyDescent="0.25">
      <c r="A12" s="51">
        <f>IF(B12="","",COUNTA($B$11:B12))</f>
        <v>2</v>
      </c>
      <c r="B12" s="6" t="s">
        <v>18</v>
      </c>
      <c r="C12" s="7" t="s">
        <v>13</v>
      </c>
      <c r="D12" s="8">
        <v>0.2</v>
      </c>
      <c r="E12" s="7" t="s">
        <v>14</v>
      </c>
      <c r="F12" s="7">
        <v>1</v>
      </c>
      <c r="G12" s="9" t="s">
        <v>15</v>
      </c>
      <c r="H12" s="54"/>
      <c r="I12" s="33" t="str">
        <f t="shared" si="0"/>
        <v>NO</v>
      </c>
      <c r="J12" s="34">
        <f t="shared" ref="J12:J16" si="1">IF(B12="","",IFERROR(IF(I12="SÍ",D12*100,0),""))</f>
        <v>0</v>
      </c>
    </row>
    <row r="13" spans="1:12" s="11" customFormat="1" ht="56.25" x14ac:dyDescent="0.25">
      <c r="A13" s="51">
        <f>IF(B13="","",COUNTA($B$11:B13))</f>
        <v>3</v>
      </c>
      <c r="B13" s="6" t="s">
        <v>19</v>
      </c>
      <c r="C13" s="7" t="s">
        <v>13</v>
      </c>
      <c r="D13" s="8">
        <v>0.2</v>
      </c>
      <c r="E13" s="7" t="s">
        <v>14</v>
      </c>
      <c r="F13" s="7">
        <v>2</v>
      </c>
      <c r="G13" s="9" t="s">
        <v>15</v>
      </c>
      <c r="H13" s="54"/>
      <c r="I13" s="33" t="str">
        <f t="shared" si="0"/>
        <v>NO</v>
      </c>
      <c r="J13" s="34">
        <f t="shared" si="1"/>
        <v>0</v>
      </c>
    </row>
    <row r="14" spans="1:12" s="11" customFormat="1" ht="33.75" x14ac:dyDescent="0.25">
      <c r="A14" s="51">
        <f>IF(B14="","",COUNTA($B$11:B14))</f>
        <v>4</v>
      </c>
      <c r="B14" s="6" t="s">
        <v>20</v>
      </c>
      <c r="C14" s="7" t="s">
        <v>13</v>
      </c>
      <c r="D14" s="8">
        <v>0.12</v>
      </c>
      <c r="E14" s="7" t="s">
        <v>14</v>
      </c>
      <c r="F14" s="7">
        <v>1</v>
      </c>
      <c r="G14" s="9" t="s">
        <v>15</v>
      </c>
      <c r="H14" s="54"/>
      <c r="I14" s="33" t="str">
        <f t="shared" si="0"/>
        <v>NO</v>
      </c>
      <c r="J14" s="34">
        <f t="shared" si="1"/>
        <v>0</v>
      </c>
    </row>
    <row r="15" spans="1:12" s="11" customFormat="1" ht="45" x14ac:dyDescent="0.25">
      <c r="A15" s="51">
        <f>IF(B15="","",COUNTA($B$11:B15))</f>
        <v>5</v>
      </c>
      <c r="B15" s="6" t="s">
        <v>21</v>
      </c>
      <c r="C15" s="7" t="s">
        <v>13</v>
      </c>
      <c r="D15" s="8">
        <v>0.12</v>
      </c>
      <c r="E15" s="7" t="s">
        <v>14</v>
      </c>
      <c r="F15" s="7">
        <v>1</v>
      </c>
      <c r="G15" s="9" t="s">
        <v>15</v>
      </c>
      <c r="H15" s="54"/>
      <c r="I15" s="33" t="str">
        <f t="shared" si="0"/>
        <v>NO</v>
      </c>
      <c r="J15" s="34">
        <f t="shared" si="1"/>
        <v>0</v>
      </c>
    </row>
    <row r="16" spans="1:12" s="11" customFormat="1" ht="11.25" x14ac:dyDescent="0.25">
      <c r="A16" s="52">
        <f>IF(B16="","",COUNTA($B$11:B16))</f>
        <v>6</v>
      </c>
      <c r="B16" s="1" t="s">
        <v>40</v>
      </c>
      <c r="C16" s="2"/>
      <c r="D16" s="49">
        <f>IF(B16="","",16%)</f>
        <v>0.16</v>
      </c>
      <c r="E16" s="21"/>
      <c r="F16" s="55"/>
      <c r="G16" s="23"/>
      <c r="H16" s="55"/>
      <c r="I16" s="33" t="str">
        <f>IFERROR(IF(OR(A16="",F16=""),"",IF(AND(G16&lt;&gt;"Alza",G16&lt;&gt;"Baja"),"",IF(G16="Alza",IF(AND(H16&lt;&gt;"",H16&gt;=F16),"SÍ","NO"),IF(G16="Baja",IF(AND(H16&lt;&gt;"",H16&lt;=F16),"SÍ","NO"))))),"")</f>
        <v/>
      </c>
      <c r="J16" s="34">
        <f t="shared" si="1"/>
        <v>0</v>
      </c>
    </row>
    <row r="17" spans="1:10" ht="29.25" customHeight="1" x14ac:dyDescent="0.25">
      <c r="A17" s="24"/>
      <c r="B17" s="28"/>
      <c r="C17" s="27" t="s">
        <v>10</v>
      </c>
      <c r="D17" s="50">
        <f>SUM($D$11:$D$16)</f>
        <v>1</v>
      </c>
      <c r="E17" s="24"/>
      <c r="F17" s="25"/>
      <c r="G17" s="25"/>
      <c r="H17" s="28"/>
      <c r="I17" s="38" t="s">
        <v>2</v>
      </c>
      <c r="J17" s="36">
        <f>IF(D17&lt;&gt;1,0,SUM($J$11:$J$16))</f>
        <v>0</v>
      </c>
    </row>
    <row r="18" spans="1:10" x14ac:dyDescent="0.25">
      <c r="D18" s="37"/>
      <c r="J18" s="37"/>
    </row>
  </sheetData>
  <sheetProtection algorithmName="SHA-512" hashValue="d1ifaN/UWnfc3eb/CSJsdB/RdJXXVQraEGJJ7Fhs4FfAOJILYPhnTJNdvo8ujMek2OSeF8oTnB0rz+Xb0hJ3eA==" saltValue="z2jaMGdm6n9o4ALmmm/1fA==" spinCount="100000" sheet="1" objects="1" scenarios="1"/>
  <mergeCells count="16">
    <mergeCell ref="A3:B3"/>
    <mergeCell ref="C3:J3"/>
    <mergeCell ref="A1:B1"/>
    <mergeCell ref="C1:H1"/>
    <mergeCell ref="I1:J1"/>
    <mergeCell ref="A2:B2"/>
    <mergeCell ref="C2:H2"/>
    <mergeCell ref="A8:B8"/>
    <mergeCell ref="C8:J8"/>
    <mergeCell ref="A5:B5"/>
    <mergeCell ref="C5:E5"/>
    <mergeCell ref="I5:J5"/>
    <mergeCell ref="A6:B6"/>
    <mergeCell ref="C6:J6"/>
    <mergeCell ref="A7:B7"/>
    <mergeCell ref="C7:J7"/>
  </mergeCells>
  <conditionalFormatting sqref="D17">
    <cfRule type="cellIs" dxfId="1" priority="2" operator="notEqual">
      <formula>1</formula>
    </cfRule>
  </conditionalFormatting>
  <conditionalFormatting sqref="J17">
    <cfRule type="expression" dxfId="0" priority="1">
      <formula>$D$16&lt;&gt;0.16</formula>
    </cfRule>
  </conditionalFormatting>
  <dataValidations count="5">
    <dataValidation type="list" allowBlank="1" showInputMessage="1" showErrorMessage="1" sqref="C11:C16">
      <formula1>"Individual,Colectivo"</formula1>
    </dataValidation>
    <dataValidation type="list" allowBlank="1" showInputMessage="1" showErrorMessage="1" sqref="K11">
      <formula1>"SÍ,NO"</formula1>
    </dataValidation>
    <dataValidation type="list" allowBlank="1" showInputMessage="1" showErrorMessage="1" sqref="G11:G16">
      <formula1>"Alza,Baja"</formula1>
    </dataValidation>
    <dataValidation type="list" allowBlank="1" showInputMessage="1" showErrorMessage="1" sqref="E11:E16">
      <formula1>"Número,Porcentaje"</formula1>
    </dataValidation>
    <dataValidation type="whole" allowBlank="1" showInputMessage="1" showErrorMessage="1" errorTitle="VALOR NO NUMÉRICO" error="Debes introducir un valor numérico." sqref="H11:H16 F16">
      <formula1>0</formula1>
      <formula2>1000000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c9bbc70-0e07-468c-abb5-2464e1ef44e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BD84735CB9ED84784DEA8B5DCD5E860" ma:contentTypeVersion="10" ma:contentTypeDescription="Create a new document." ma:contentTypeScope="" ma:versionID="3d43c06f7c9aa99834e8c459dbf64032">
  <xsd:schema xmlns:xsd="http://www.w3.org/2001/XMLSchema" xmlns:xs="http://www.w3.org/2001/XMLSchema" xmlns:p="http://schemas.microsoft.com/office/2006/metadata/properties" xmlns:ns2="3c9bbc70-0e07-468c-abb5-2464e1ef44e0" targetNamespace="http://schemas.microsoft.com/office/2006/metadata/properties" ma:root="true" ma:fieldsID="2c023ef3de5a9ecb25674130b20eefa6" ns2:_="">
    <xsd:import namespace="3c9bbc70-0e07-468c-abb5-2464e1ef44e0"/>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9bbc70-0e07-468c-abb5-2464e1ef44e0"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c3887f44-ed6a-4f04-a3d7-186a0f016847"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4BF8E8-B2DF-4F17-B240-00A48EED463D}">
  <ds:schemaRefs>
    <ds:schemaRef ds:uri="http://purl.org/dc/dcmitype/"/>
    <ds:schemaRef ds:uri="http://schemas.microsoft.com/office/infopath/2007/PartnerControls"/>
    <ds:schemaRef ds:uri="http://www.w3.org/XML/1998/namespace"/>
    <ds:schemaRef ds:uri="http://schemas.openxmlformats.org/package/2006/metadata/core-properties"/>
    <ds:schemaRef ds:uri="http://purl.org/dc/terms/"/>
    <ds:schemaRef ds:uri="http://schemas.microsoft.com/office/2006/documentManagement/types"/>
    <ds:schemaRef ds:uri="3c9bbc70-0e07-468c-abb5-2464e1ef44e0"/>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19B27686-62F2-4300-B4E9-AC96A173A9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9bbc70-0e07-468c-abb5-2464e1ef44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B1E1142-E15F-4E53-8E4A-2D7541B319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2</vt:i4>
      </vt:variant>
    </vt:vector>
  </HeadingPairs>
  <TitlesOfParts>
    <vt:vector size="17" baseType="lpstr">
      <vt:lpstr>Instrucciones</vt:lpstr>
      <vt:lpstr>RESULTADOS_OBJETIVOS</vt:lpstr>
      <vt:lpstr>Supervis@r</vt:lpstr>
      <vt:lpstr>Supervis@r_Int1</vt:lpstr>
      <vt:lpstr>Supervis@r_Int2</vt:lpstr>
      <vt:lpstr>Supervis@r_Int3</vt:lpstr>
      <vt:lpstr>Supervis@r_Int4</vt:lpstr>
      <vt:lpstr>Supervis@r_Int5</vt:lpstr>
      <vt:lpstr>Supervis@r_Int6</vt:lpstr>
      <vt:lpstr>Supervis@r_Int7</vt:lpstr>
      <vt:lpstr>Supervis@r_Int8</vt:lpstr>
      <vt:lpstr>Supervis@r_Int9</vt:lpstr>
      <vt:lpstr>Supervis@r_Int10</vt:lpstr>
      <vt:lpstr>Supervis@r_Int11</vt:lpstr>
      <vt:lpstr>Supervis@r_Int12</vt:lpstr>
      <vt:lpstr>RESULTADOS_OBJETIVOS!Títulos_a_imprimir</vt:lpstr>
      <vt:lpstr>'Supervis@r'!Títulos_a_imprimir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Navarro Carro</dc:creator>
  <cp:lastModifiedBy>Ramón Luque</cp:lastModifiedBy>
  <cp:lastPrinted>2026-08-28T03:29:10Z</cp:lastPrinted>
  <dcterms:created xsi:type="dcterms:W3CDTF">2015-06-05T18:19:34Z</dcterms:created>
  <dcterms:modified xsi:type="dcterms:W3CDTF">2026-09-21T20:10:24Z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0x010100EBD84735CB9ED84784DEA8B5DCD5E860</vt:lpwstr>
  </property>
  <property fmtid="{D5CDD505-2E9C-101B-9397-08002B2CF9AE}" pid="3" name="MediaServiceImageTags">
    <vt:lpwstr/>
  </property>
</Properties>
</file>